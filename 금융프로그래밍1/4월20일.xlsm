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SU\Downloads\"/>
    </mc:Choice>
  </mc:AlternateContent>
  <xr:revisionPtr revIDLastSave="0" documentId="13_ncr:1_{C92B34DA-9C96-4FD9-9E11-B40C2E5C2F8B}" xr6:coauthVersionLast="36" xr6:coauthVersionMax="36" xr10:uidLastSave="{00000000-0000-0000-0000-000000000000}"/>
  <bookViews>
    <workbookView xWindow="0" yWindow="0" windowWidth="28800" windowHeight="12180" activeTab="1" xr2:uid="{FA24210D-9558-429A-8DF5-016381F720EB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2" l="1"/>
  <c r="G24" i="2"/>
  <c r="G22" i="2"/>
  <c r="G21" i="2"/>
  <c r="G20" i="2"/>
  <c r="E3" i="1"/>
  <c r="E4" i="1" s="1"/>
  <c r="F9" i="1"/>
  <c r="B9" i="2"/>
  <c r="B10" i="1"/>
  <c r="C9" i="2" l="1"/>
  <c r="C10" i="1"/>
  <c r="B10" i="2"/>
  <c r="D10" i="1"/>
  <c r="C10" i="2" l="1"/>
  <c r="E10" i="1"/>
  <c r="F10" i="1" s="1"/>
  <c r="B11" i="2"/>
  <c r="B11" i="1"/>
  <c r="C11" i="2" l="1"/>
  <c r="C11" i="1"/>
  <c r="B12" i="2"/>
  <c r="D11" i="1"/>
  <c r="C12" i="2" l="1"/>
  <c r="E11" i="1"/>
  <c r="F11" i="1" s="1"/>
  <c r="B13" i="2"/>
  <c r="B12" i="1"/>
  <c r="C13" i="2" l="1"/>
  <c r="C12" i="1"/>
  <c r="B14" i="2"/>
  <c r="D12" i="1"/>
  <c r="C14" i="2" l="1"/>
  <c r="E12" i="1"/>
  <c r="F12" i="1" s="1"/>
  <c r="B15" i="2"/>
  <c r="B13" i="1"/>
  <c r="C15" i="2" l="1"/>
  <c r="C13" i="1"/>
  <c r="B16" i="2"/>
  <c r="D13" i="1"/>
  <c r="C16" i="2" l="1"/>
  <c r="E13" i="1"/>
  <c r="F13" i="1" s="1"/>
  <c r="B17" i="2"/>
  <c r="B14" i="1"/>
  <c r="C17" i="2" l="1"/>
  <c r="C14" i="1"/>
  <c r="B18" i="2"/>
  <c r="D14" i="1"/>
  <c r="C18" i="2" l="1"/>
  <c r="E14" i="1"/>
  <c r="F14" i="1" s="1"/>
  <c r="B19" i="2"/>
  <c r="B15" i="1"/>
  <c r="C19" i="2" l="1"/>
  <c r="C15" i="1"/>
  <c r="B20" i="2"/>
  <c r="D15" i="1"/>
  <c r="C20" i="2" l="1"/>
  <c r="E15" i="1"/>
  <c r="F15" i="1" s="1"/>
  <c r="B21" i="2"/>
  <c r="B16" i="1"/>
  <c r="C21" i="2" l="1"/>
  <c r="C16" i="1"/>
  <c r="B22" i="2"/>
  <c r="D16" i="1"/>
  <c r="C22" i="2" l="1"/>
  <c r="E16" i="1"/>
  <c r="F16" i="1" s="1"/>
  <c r="B23" i="2"/>
  <c r="B17" i="1"/>
  <c r="C23" i="2" l="1"/>
  <c r="C17" i="1"/>
  <c r="B24" i="2"/>
  <c r="D17" i="1"/>
  <c r="C24" i="2" l="1"/>
  <c r="E17" i="1"/>
  <c r="F17" i="1" s="1"/>
  <c r="B25" i="2"/>
  <c r="B18" i="1"/>
  <c r="C25" i="2" l="1"/>
  <c r="C18" i="1"/>
  <c r="B26" i="2"/>
  <c r="D18" i="1"/>
  <c r="C26" i="2" l="1"/>
  <c r="E18" i="1"/>
  <c r="F18" i="1" s="1"/>
  <c r="B27" i="2"/>
  <c r="B19" i="1"/>
  <c r="C27" i="2" l="1"/>
  <c r="C19" i="1"/>
  <c r="B28" i="2"/>
  <c r="D19" i="1"/>
  <c r="C28" i="2" l="1"/>
  <c r="E19" i="1"/>
  <c r="F19" i="1" s="1"/>
  <c r="B29" i="2"/>
  <c r="B20" i="1"/>
  <c r="C29" i="2" l="1"/>
  <c r="C20" i="1"/>
  <c r="B30" i="2"/>
  <c r="D20" i="1"/>
  <c r="C30" i="2" l="1"/>
  <c r="E20" i="1"/>
  <c r="F20" i="1" s="1"/>
  <c r="B31" i="2"/>
  <c r="B21" i="1"/>
  <c r="C31" i="2" l="1"/>
  <c r="C21" i="1"/>
  <c r="B32" i="2"/>
  <c r="D21" i="1"/>
  <c r="C32" i="2" l="1"/>
  <c r="E21" i="1"/>
  <c r="F21" i="1" s="1"/>
  <c r="B33" i="2"/>
  <c r="B22" i="1"/>
  <c r="C33" i="2" l="1"/>
  <c r="C22" i="1"/>
  <c r="B34" i="2"/>
  <c r="D22" i="1"/>
  <c r="C34" i="2" l="1"/>
  <c r="E22" i="1"/>
  <c r="F22" i="1" s="1"/>
  <c r="B35" i="2"/>
  <c r="B23" i="1"/>
  <c r="C35" i="2" l="1"/>
  <c r="C23" i="1"/>
  <c r="B36" i="2"/>
  <c r="D23" i="1"/>
  <c r="C36" i="2" l="1"/>
  <c r="E23" i="1"/>
  <c r="F23" i="1" s="1"/>
  <c r="B37" i="2"/>
  <c r="B24" i="1"/>
  <c r="C37" i="2" l="1"/>
  <c r="C24" i="1"/>
  <c r="B38" i="2"/>
  <c r="D24" i="1"/>
  <c r="C38" i="2" l="1"/>
  <c r="E24" i="1"/>
  <c r="F24" i="1" s="1"/>
  <c r="B39" i="2"/>
  <c r="B25" i="1"/>
  <c r="C39" i="2" l="1"/>
  <c r="C25" i="1"/>
  <c r="B40" i="2"/>
  <c r="D25" i="1"/>
  <c r="C40" i="2" l="1"/>
  <c r="E25" i="1"/>
  <c r="F25" i="1" s="1"/>
  <c r="B41" i="2"/>
  <c r="B26" i="1"/>
  <c r="C41" i="2" l="1"/>
  <c r="C26" i="1"/>
  <c r="B42" i="2"/>
  <c r="D26" i="1"/>
  <c r="C42" i="2" l="1"/>
  <c r="E26" i="1"/>
  <c r="F26" i="1" s="1"/>
  <c r="B43" i="2"/>
  <c r="B27" i="1"/>
  <c r="C43" i="2" l="1"/>
  <c r="C27" i="1"/>
  <c r="B44" i="2"/>
  <c r="D27" i="1"/>
  <c r="C44" i="2" l="1"/>
  <c r="E27" i="1"/>
  <c r="F27" i="1" s="1"/>
  <c r="B45" i="2"/>
  <c r="B28" i="1"/>
  <c r="C45" i="2" l="1"/>
  <c r="C28" i="1"/>
  <c r="B46" i="2"/>
  <c r="D28" i="1"/>
  <c r="C46" i="2" l="1"/>
  <c r="E28" i="1"/>
  <c r="F28" i="1" s="1"/>
  <c r="B47" i="2"/>
  <c r="B29" i="1"/>
  <c r="C47" i="2" l="1"/>
  <c r="C29" i="1"/>
  <c r="B48" i="2"/>
  <c r="D29" i="1"/>
  <c r="C48" i="2" l="1"/>
  <c r="E29" i="1"/>
  <c r="F29" i="1" s="1"/>
  <c r="B49" i="2"/>
  <c r="B30" i="1"/>
  <c r="C49" i="2" l="1"/>
  <c r="C30" i="1"/>
  <c r="B50" i="2"/>
  <c r="D30" i="1"/>
  <c r="C50" i="2" l="1"/>
  <c r="E30" i="1"/>
  <c r="F30" i="1" s="1"/>
  <c r="B51" i="2"/>
  <c r="B31" i="1"/>
  <c r="C51" i="2" l="1"/>
  <c r="C31" i="1"/>
  <c r="B52" i="2"/>
  <c r="D31" i="1"/>
  <c r="C52" i="2" l="1"/>
  <c r="E31" i="1"/>
  <c r="F31" i="1" s="1"/>
  <c r="B53" i="2"/>
  <c r="B32" i="1"/>
  <c r="C53" i="2" l="1"/>
  <c r="C32" i="1"/>
  <c r="B54" i="2"/>
  <c r="D32" i="1"/>
  <c r="C54" i="2" l="1"/>
  <c r="E32" i="1"/>
  <c r="F32" i="1" s="1"/>
  <c r="B55" i="2"/>
  <c r="B33" i="1"/>
  <c r="C55" i="2" l="1"/>
  <c r="C33" i="1"/>
  <c r="B56" i="2"/>
  <c r="D33" i="1"/>
  <c r="C56" i="2" l="1"/>
  <c r="E33" i="1"/>
  <c r="F33" i="1" s="1"/>
  <c r="B57" i="2"/>
  <c r="B34" i="1"/>
  <c r="C57" i="2" l="1"/>
  <c r="C34" i="1"/>
  <c r="B58" i="2"/>
  <c r="D34" i="1"/>
  <c r="C58" i="2" l="1"/>
  <c r="E34" i="1"/>
  <c r="F34" i="1" s="1"/>
  <c r="B59" i="2"/>
  <c r="B35" i="1"/>
  <c r="C59" i="2" l="1"/>
  <c r="C35" i="1"/>
  <c r="B60" i="2"/>
  <c r="D35" i="1"/>
  <c r="G12" i="2" l="1"/>
  <c r="G11" i="2"/>
  <c r="C60" i="2"/>
  <c r="E35" i="1"/>
  <c r="F35" i="1" s="1"/>
  <c r="B36" i="1"/>
  <c r="C36" i="1" l="1"/>
  <c r="D36" i="1"/>
  <c r="E36" i="1" l="1"/>
  <c r="F36" i="1" s="1"/>
  <c r="B37" i="1"/>
  <c r="C37" i="1" l="1"/>
  <c r="D37" i="1"/>
  <c r="E37" i="1" l="1"/>
  <c r="F37" i="1" s="1"/>
  <c r="B38" i="1"/>
  <c r="C38" i="1" l="1"/>
  <c r="D38" i="1"/>
  <c r="E38" i="1" l="1"/>
  <c r="F38" i="1" s="1"/>
  <c r="B39" i="1"/>
  <c r="C39" i="1" l="1"/>
  <c r="D39" i="1"/>
  <c r="E39" i="1" l="1"/>
  <c r="F39" i="1" s="1"/>
  <c r="B40" i="1"/>
  <c r="C40" i="1" l="1"/>
  <c r="D40" i="1"/>
  <c r="E40" i="1" l="1"/>
  <c r="F40" i="1" s="1"/>
  <c r="B41" i="1"/>
  <c r="C41" i="1" l="1"/>
  <c r="D41" i="1"/>
  <c r="E41" i="1" l="1"/>
  <c r="F41" i="1" s="1"/>
  <c r="B42" i="1"/>
  <c r="C42" i="1" l="1"/>
  <c r="D42" i="1"/>
  <c r="E42" i="1" l="1"/>
  <c r="F42" i="1" s="1"/>
  <c r="B43" i="1"/>
  <c r="C43" i="1" l="1"/>
  <c r="D43" i="1"/>
  <c r="E43" i="1" l="1"/>
  <c r="F43" i="1" s="1"/>
  <c r="B44" i="1"/>
  <c r="C44" i="1" l="1"/>
  <c r="D44" i="1"/>
  <c r="E44" i="1" l="1"/>
  <c r="F44" i="1" s="1"/>
  <c r="B45" i="1"/>
  <c r="C45" i="1" l="1"/>
  <c r="D45" i="1"/>
  <c r="E45" i="1" l="1"/>
  <c r="F45" i="1" s="1"/>
  <c r="B46" i="1"/>
  <c r="C46" i="1" l="1"/>
  <c r="D46" i="1"/>
  <c r="E46" i="1" l="1"/>
  <c r="F46" i="1" s="1"/>
  <c r="B47" i="1"/>
  <c r="C47" i="1" l="1"/>
  <c r="D47" i="1"/>
  <c r="E47" i="1" l="1"/>
  <c r="F47" i="1" s="1"/>
  <c r="B48" i="1"/>
  <c r="C48" i="1" l="1"/>
  <c r="D48" i="1"/>
  <c r="E48" i="1" l="1"/>
  <c r="F48" i="1" s="1"/>
  <c r="B49" i="1"/>
  <c r="C49" i="1" l="1"/>
  <c r="D49" i="1"/>
  <c r="E49" i="1" l="1"/>
  <c r="F49" i="1" s="1"/>
  <c r="B50" i="1"/>
  <c r="C50" i="1" l="1"/>
  <c r="D50" i="1"/>
  <c r="E50" i="1" l="1"/>
  <c r="F50" i="1" s="1"/>
  <c r="B51" i="1"/>
  <c r="C51" i="1" l="1"/>
  <c r="D51" i="1"/>
  <c r="E51" i="1" l="1"/>
  <c r="F51" i="1" s="1"/>
  <c r="B52" i="1"/>
  <c r="C52" i="1" l="1"/>
  <c r="D52" i="1"/>
  <c r="E52" i="1" l="1"/>
  <c r="F52" i="1" s="1"/>
  <c r="B53" i="1"/>
  <c r="C53" i="1" l="1"/>
  <c r="D53" i="1"/>
  <c r="E53" i="1" l="1"/>
  <c r="F53" i="1" s="1"/>
  <c r="B54" i="1"/>
  <c r="C54" i="1" l="1"/>
  <c r="D54" i="1"/>
  <c r="E54" i="1" l="1"/>
  <c r="F54" i="1" s="1"/>
  <c r="B55" i="1"/>
  <c r="C55" i="1" l="1"/>
  <c r="D55" i="1"/>
  <c r="E55" i="1" l="1"/>
  <c r="F55" i="1" s="1"/>
  <c r="B56" i="1"/>
  <c r="C56" i="1" l="1"/>
  <c r="D56" i="1"/>
  <c r="E56" i="1" l="1"/>
  <c r="F56" i="1" s="1"/>
  <c r="B57" i="1"/>
  <c r="C57" i="1" l="1"/>
  <c r="D57" i="1"/>
  <c r="E57" i="1" l="1"/>
  <c r="F57" i="1" s="1"/>
  <c r="B58" i="1"/>
  <c r="C58" i="1" l="1"/>
  <c r="D58" i="1"/>
  <c r="E58" i="1" l="1"/>
  <c r="F58" i="1" s="1"/>
  <c r="B59" i="1"/>
  <c r="C59" i="1" l="1"/>
  <c r="D59" i="1"/>
  <c r="E59" i="1" l="1"/>
  <c r="F59" i="1" s="1"/>
  <c r="B60" i="1"/>
  <c r="C60" i="1" l="1"/>
  <c r="D60" i="1"/>
  <c r="E60" i="1" l="1"/>
  <c r="F60" i="1" s="1"/>
  <c r="B61" i="1"/>
  <c r="C61" i="1" l="1"/>
  <c r="D61" i="1"/>
  <c r="E61" i="1" l="1"/>
  <c r="F61" i="1" s="1"/>
  <c r="B62" i="1"/>
  <c r="C62" i="1" l="1"/>
  <c r="D62" i="1"/>
  <c r="E62" i="1" l="1"/>
  <c r="F62" i="1" s="1"/>
  <c r="B63" i="1"/>
  <c r="C63" i="1" l="1"/>
  <c r="D63" i="1"/>
  <c r="E63" i="1" l="1"/>
  <c r="F63" i="1" s="1"/>
  <c r="B64" i="1"/>
  <c r="C64" i="1" l="1"/>
  <c r="D64" i="1"/>
  <c r="E64" i="1" l="1"/>
  <c r="F64" i="1" s="1"/>
  <c r="B65" i="1"/>
  <c r="C65" i="1" l="1"/>
  <c r="D65" i="1"/>
  <c r="E65" i="1" l="1"/>
  <c r="F65" i="1" s="1"/>
  <c r="B66" i="1"/>
  <c r="C66" i="1" l="1"/>
  <c r="D66" i="1"/>
  <c r="E66" i="1" l="1"/>
  <c r="F66" i="1" s="1"/>
  <c r="B67" i="1"/>
  <c r="C67" i="1" l="1"/>
  <c r="D67" i="1"/>
  <c r="E67" i="1" l="1"/>
  <c r="F67" i="1" s="1"/>
  <c r="B68" i="1"/>
  <c r="C68" i="1" l="1"/>
  <c r="D68" i="1"/>
  <c r="E68" i="1" l="1"/>
  <c r="F68" i="1" s="1"/>
  <c r="B69" i="1"/>
  <c r="C69" i="1" l="1"/>
  <c r="D69" i="1"/>
  <c r="E69" i="1" l="1"/>
  <c r="F69" i="1" s="1"/>
  <c r="B70" i="1"/>
  <c r="C70" i="1" l="1"/>
  <c r="D70" i="1"/>
  <c r="E70" i="1" l="1"/>
  <c r="F70" i="1" s="1"/>
  <c r="B71" i="1"/>
  <c r="C71" i="1" l="1"/>
  <c r="D71" i="1"/>
  <c r="E71" i="1" l="1"/>
  <c r="F71" i="1" s="1"/>
  <c r="B72" i="1"/>
  <c r="C72" i="1" l="1"/>
  <c r="D72" i="1"/>
  <c r="E72" i="1" l="1"/>
  <c r="F72" i="1" s="1"/>
  <c r="B73" i="1"/>
  <c r="C73" i="1" l="1"/>
  <c r="D73" i="1"/>
  <c r="E73" i="1" l="1"/>
  <c r="F73" i="1" s="1"/>
  <c r="B74" i="1"/>
  <c r="C74" i="1" l="1"/>
  <c r="D74" i="1"/>
  <c r="E74" i="1" l="1"/>
  <c r="F74" i="1" s="1"/>
  <c r="B75" i="1"/>
  <c r="C75" i="1" l="1"/>
  <c r="D75" i="1"/>
  <c r="E75" i="1" l="1"/>
  <c r="F75" i="1" s="1"/>
  <c r="B76" i="1"/>
  <c r="C76" i="1" l="1"/>
  <c r="D76" i="1"/>
  <c r="E76" i="1" l="1"/>
  <c r="F76" i="1" s="1"/>
  <c r="B77" i="1"/>
  <c r="C77" i="1" l="1"/>
  <c r="D77" i="1"/>
  <c r="E77" i="1" l="1"/>
  <c r="F77" i="1" s="1"/>
  <c r="B78" i="1"/>
  <c r="C78" i="1" l="1"/>
  <c r="D78" i="1"/>
  <c r="E78" i="1" l="1"/>
  <c r="F78" i="1" s="1"/>
  <c r="B79" i="1"/>
  <c r="C79" i="1" l="1"/>
  <c r="D79" i="1"/>
  <c r="E79" i="1" l="1"/>
  <c r="F79" i="1" s="1"/>
  <c r="B80" i="1"/>
  <c r="C80" i="1" l="1"/>
  <c r="D80" i="1"/>
  <c r="E80" i="1" l="1"/>
  <c r="F80" i="1" s="1"/>
  <c r="B81" i="1"/>
  <c r="C81" i="1" l="1"/>
  <c r="D81" i="1"/>
  <c r="E81" i="1" l="1"/>
  <c r="F81" i="1" s="1"/>
  <c r="B82" i="1"/>
  <c r="C82" i="1" l="1"/>
  <c r="D82" i="1"/>
  <c r="E82" i="1" l="1"/>
  <c r="F82" i="1" s="1"/>
  <c r="B83" i="1"/>
  <c r="C83" i="1" l="1"/>
  <c r="D83" i="1"/>
  <c r="E83" i="1" l="1"/>
  <c r="F83" i="1" s="1"/>
  <c r="B84" i="1"/>
  <c r="C84" i="1" l="1"/>
  <c r="D84" i="1"/>
  <c r="E84" i="1" l="1"/>
  <c r="F84" i="1" s="1"/>
  <c r="B85" i="1"/>
  <c r="C85" i="1" l="1"/>
  <c r="D85" i="1"/>
  <c r="E85" i="1" l="1"/>
  <c r="F85" i="1" s="1"/>
  <c r="B86" i="1"/>
  <c r="C86" i="1" l="1"/>
  <c r="D86" i="1"/>
  <c r="E86" i="1" l="1"/>
  <c r="F86" i="1" s="1"/>
  <c r="B87" i="1"/>
  <c r="C87" i="1" l="1"/>
  <c r="D87" i="1"/>
  <c r="E87" i="1" l="1"/>
  <c r="F87" i="1" s="1"/>
  <c r="B88" i="1"/>
  <c r="C88" i="1" l="1"/>
  <c r="D88" i="1"/>
  <c r="E88" i="1" l="1"/>
  <c r="F88" i="1" s="1"/>
  <c r="B89" i="1"/>
  <c r="C89" i="1" l="1"/>
  <c r="D89" i="1"/>
  <c r="E89" i="1" l="1"/>
  <c r="F89" i="1" s="1"/>
  <c r="B90" i="1"/>
  <c r="C90" i="1" l="1"/>
  <c r="D90" i="1"/>
  <c r="E90" i="1" l="1"/>
  <c r="F90" i="1" s="1"/>
  <c r="B91" i="1"/>
  <c r="C91" i="1" l="1"/>
  <c r="D91" i="1"/>
  <c r="E91" i="1" l="1"/>
  <c r="F91" i="1" s="1"/>
  <c r="B92" i="1"/>
  <c r="C92" i="1" l="1"/>
  <c r="D92" i="1"/>
  <c r="E92" i="1" l="1"/>
  <c r="F92" i="1" s="1"/>
  <c r="B93" i="1"/>
  <c r="C93" i="1" l="1"/>
  <c r="D93" i="1"/>
  <c r="E93" i="1" l="1"/>
  <c r="F93" i="1" s="1"/>
  <c r="B94" i="1"/>
  <c r="C94" i="1" l="1"/>
  <c r="D94" i="1"/>
  <c r="E94" i="1" l="1"/>
  <c r="F94" i="1" s="1"/>
  <c r="B95" i="1"/>
  <c r="C95" i="1" l="1"/>
  <c r="D95" i="1"/>
  <c r="E95" i="1" l="1"/>
  <c r="F95" i="1" s="1"/>
  <c r="B96" i="1"/>
  <c r="C96" i="1" l="1"/>
  <c r="D96" i="1"/>
  <c r="E96" i="1" l="1"/>
  <c r="F96" i="1" s="1"/>
  <c r="B97" i="1"/>
  <c r="C97" i="1" l="1"/>
  <c r="D97" i="1"/>
  <c r="E97" i="1" l="1"/>
  <c r="F97" i="1" s="1"/>
  <c r="B98" i="1"/>
  <c r="C98" i="1" l="1"/>
  <c r="D98" i="1"/>
  <c r="E98" i="1" l="1"/>
  <c r="F98" i="1" s="1"/>
  <c r="B99" i="1"/>
  <c r="C99" i="1" l="1"/>
  <c r="D99" i="1"/>
  <c r="E99" i="1" l="1"/>
  <c r="F99" i="1" s="1"/>
  <c r="B100" i="1"/>
  <c r="C100" i="1" l="1"/>
  <c r="D100" i="1"/>
  <c r="E100" i="1" l="1"/>
  <c r="F100" i="1" s="1"/>
  <c r="B101" i="1"/>
  <c r="C101" i="1" l="1"/>
  <c r="D101" i="1"/>
  <c r="E101" i="1" l="1"/>
  <c r="F101" i="1" s="1"/>
  <c r="B102" i="1"/>
  <c r="C102" i="1" l="1"/>
  <c r="D102" i="1"/>
  <c r="E102" i="1" l="1"/>
  <c r="F102" i="1" s="1"/>
  <c r="B103" i="1"/>
  <c r="C103" i="1" l="1"/>
  <c r="D103" i="1"/>
  <c r="E103" i="1" l="1"/>
  <c r="F103" i="1" s="1"/>
  <c r="B104" i="1"/>
  <c r="C104" i="1" l="1"/>
  <c r="D104" i="1"/>
  <c r="E104" i="1" l="1"/>
  <c r="F104" i="1" s="1"/>
  <c r="B105" i="1"/>
  <c r="C105" i="1" l="1"/>
  <c r="D105" i="1"/>
  <c r="E105" i="1" l="1"/>
  <c r="F105" i="1" s="1"/>
  <c r="B106" i="1"/>
  <c r="C106" i="1" l="1"/>
  <c r="D106" i="1"/>
  <c r="E106" i="1" l="1"/>
  <c r="F106" i="1" s="1"/>
  <c r="B107" i="1"/>
  <c r="C107" i="1" l="1"/>
  <c r="D107" i="1"/>
  <c r="E107" i="1" l="1"/>
  <c r="F107" i="1" s="1"/>
  <c r="B108" i="1"/>
  <c r="C108" i="1" l="1"/>
  <c r="D108" i="1"/>
  <c r="E108" i="1" l="1"/>
  <c r="F108" i="1" s="1"/>
  <c r="B109" i="1"/>
  <c r="C109" i="1" l="1"/>
  <c r="D109" i="1"/>
  <c r="E109" i="1" l="1"/>
  <c r="F109" i="1" s="1"/>
  <c r="I13" i="1" s="1"/>
  <c r="I14" i="1" l="1"/>
  <c r="I12" i="1"/>
</calcChain>
</file>

<file path=xl/sharedStrings.xml><?xml version="1.0" encoding="utf-8"?>
<sst xmlns="http://schemas.openxmlformats.org/spreadsheetml/2006/main" count="52" uniqueCount="34">
  <si>
    <t>Reed and Frost Model</t>
    <phoneticPr fontId="1" type="noConversion"/>
  </si>
  <si>
    <t>접촉할 확률</t>
    <phoneticPr fontId="1" type="noConversion"/>
  </si>
  <si>
    <t>접촉 이후 감염될 확률</t>
    <phoneticPr fontId="1" type="noConversion"/>
  </si>
  <si>
    <t>사망확률</t>
    <phoneticPr fontId="1" type="noConversion"/>
  </si>
  <si>
    <t>기간</t>
    <phoneticPr fontId="1" type="noConversion"/>
  </si>
  <si>
    <t>건강</t>
    <phoneticPr fontId="1" type="noConversion"/>
  </si>
  <si>
    <t>질병</t>
    <phoneticPr fontId="1" type="noConversion"/>
  </si>
  <si>
    <t>사망</t>
    <phoneticPr fontId="1" type="noConversion"/>
  </si>
  <si>
    <t>누적사망</t>
    <phoneticPr fontId="1" type="noConversion"/>
  </si>
  <si>
    <t>인구</t>
    <phoneticPr fontId="1" type="noConversion"/>
  </si>
  <si>
    <t>걸릴 확률</t>
    <phoneticPr fontId="1" type="noConversion"/>
  </si>
  <si>
    <t>건강 유지</t>
    <phoneticPr fontId="1" type="noConversion"/>
  </si>
  <si>
    <t>volatile</t>
    <phoneticPr fontId="1" type="noConversion"/>
  </si>
  <si>
    <t>인구소멸</t>
    <phoneticPr fontId="1" type="noConversion"/>
  </si>
  <si>
    <t>질병소멸</t>
    <phoneticPr fontId="1" type="noConversion"/>
  </si>
  <si>
    <t>평균</t>
    <phoneticPr fontId="1" type="noConversion"/>
  </si>
  <si>
    <t>표준편차</t>
    <phoneticPr fontId="1" type="noConversion"/>
  </si>
  <si>
    <t>5퍼센타일</t>
    <phoneticPr fontId="1" type="noConversion"/>
  </si>
  <si>
    <t>95퍼센타일</t>
    <phoneticPr fontId="1" type="noConversion"/>
  </si>
  <si>
    <t>소멸여부</t>
    <phoneticPr fontId="1" type="noConversion"/>
  </si>
  <si>
    <t>질병소멸여부</t>
    <phoneticPr fontId="1" type="noConversion"/>
  </si>
  <si>
    <t>Markov Transition Model</t>
    <phoneticPr fontId="1" type="noConversion"/>
  </si>
  <si>
    <t>Transition Matrix</t>
    <phoneticPr fontId="1" type="noConversion"/>
  </si>
  <si>
    <t>Coke</t>
    <phoneticPr fontId="1" type="noConversion"/>
  </si>
  <si>
    <t>Pepsi</t>
    <phoneticPr fontId="1" type="noConversion"/>
  </si>
  <si>
    <t>영업이익</t>
    <phoneticPr fontId="1" type="noConversion"/>
  </si>
  <si>
    <t>구매자수</t>
    <phoneticPr fontId="1" type="noConversion"/>
  </si>
  <si>
    <t>구매지수</t>
    <phoneticPr fontId="1" type="noConversion"/>
  </si>
  <si>
    <t>광고후</t>
    <phoneticPr fontId="1" type="noConversion"/>
  </si>
  <si>
    <t>광고전</t>
    <phoneticPr fontId="1" type="noConversion"/>
  </si>
  <si>
    <t>광고효과</t>
    <phoneticPr fontId="1" type="noConversion"/>
  </si>
  <si>
    <t>광고비</t>
    <phoneticPr fontId="1" type="noConversion"/>
  </si>
  <si>
    <t>순효과</t>
    <phoneticPr fontId="1" type="noConversion"/>
  </si>
  <si>
    <t>t값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</si>
</sst>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358705161854769E-2"/>
          <c:y val="2.5428331875182269E-2"/>
          <c:w val="0.89019685039370078"/>
          <c:h val="0.8291980169145523"/>
        </c:manualLayout>
      </c:layout>
      <c:lineChart>
        <c:grouping val="standard"/>
        <c:varyColors val="0"/>
        <c:ser>
          <c:idx val="0"/>
          <c:order val="0"/>
          <c:tx>
            <c:strRef>
              <c:f>Sheet1!$B$8</c:f>
              <c:strCache>
                <c:ptCount val="1"/>
                <c:pt idx="0">
                  <c:v>건강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Sheet1!$B$9:$B$109</c:f>
              <c:numCache>
                <c:formatCode>General</c:formatCode>
                <c:ptCount val="10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98</c:v>
                </c:pt>
                <c:pt idx="4">
                  <c:v>96</c:v>
                </c:pt>
                <c:pt idx="5">
                  <c:v>95</c:v>
                </c:pt>
                <c:pt idx="6">
                  <c:v>94</c:v>
                </c:pt>
                <c:pt idx="7">
                  <c:v>92</c:v>
                </c:pt>
                <c:pt idx="8">
                  <c:v>87</c:v>
                </c:pt>
                <c:pt idx="9">
                  <c:v>79</c:v>
                </c:pt>
                <c:pt idx="10">
                  <c:v>74</c:v>
                </c:pt>
                <c:pt idx="11">
                  <c:v>70</c:v>
                </c:pt>
                <c:pt idx="12">
                  <c:v>64</c:v>
                </c:pt>
                <c:pt idx="13">
                  <c:v>58</c:v>
                </c:pt>
                <c:pt idx="14">
                  <c:v>47</c:v>
                </c:pt>
                <c:pt idx="15">
                  <c:v>42</c:v>
                </c:pt>
                <c:pt idx="16">
                  <c:v>31</c:v>
                </c:pt>
                <c:pt idx="17">
                  <c:v>23</c:v>
                </c:pt>
                <c:pt idx="18">
                  <c:v>18</c:v>
                </c:pt>
                <c:pt idx="19">
                  <c:v>13</c:v>
                </c:pt>
                <c:pt idx="20">
                  <c:v>11</c:v>
                </c:pt>
                <c:pt idx="21">
                  <c:v>9</c:v>
                </c:pt>
                <c:pt idx="22">
                  <c:v>7</c:v>
                </c:pt>
                <c:pt idx="23">
                  <c:v>6</c:v>
                </c:pt>
                <c:pt idx="24">
                  <c:v>5</c:v>
                </c:pt>
                <c:pt idx="25">
                  <c:v>5</c:v>
                </c:pt>
                <c:pt idx="26">
                  <c:v>4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6-4979-BAD4-9D0C518E8BCD}"/>
            </c:ext>
          </c:extLst>
        </c:ser>
        <c:ser>
          <c:idx val="1"/>
          <c:order val="1"/>
          <c:tx>
            <c:strRef>
              <c:f>Sheet1!$C$8</c:f>
              <c:strCache>
                <c:ptCount val="1"/>
                <c:pt idx="0">
                  <c:v>질병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Sheet1!$C$9:$C$109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6</c:v>
                </c:pt>
                <c:pt idx="8">
                  <c:v>11</c:v>
                </c:pt>
                <c:pt idx="9">
                  <c:v>17</c:v>
                </c:pt>
                <c:pt idx="10">
                  <c:v>17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34</c:v>
                </c:pt>
                <c:pt idx="15">
                  <c:v>38</c:v>
                </c:pt>
                <c:pt idx="16">
                  <c:v>45</c:v>
                </c:pt>
                <c:pt idx="17">
                  <c:v>47</c:v>
                </c:pt>
                <c:pt idx="18">
                  <c:v>47</c:v>
                </c:pt>
                <c:pt idx="19">
                  <c:v>46</c:v>
                </c:pt>
                <c:pt idx="20">
                  <c:v>42</c:v>
                </c:pt>
                <c:pt idx="21">
                  <c:v>39</c:v>
                </c:pt>
                <c:pt idx="22">
                  <c:v>36</c:v>
                </c:pt>
                <c:pt idx="23">
                  <c:v>33</c:v>
                </c:pt>
                <c:pt idx="24">
                  <c:v>30</c:v>
                </c:pt>
                <c:pt idx="25">
                  <c:v>27</c:v>
                </c:pt>
                <c:pt idx="26">
                  <c:v>25</c:v>
                </c:pt>
                <c:pt idx="27">
                  <c:v>25</c:v>
                </c:pt>
                <c:pt idx="28">
                  <c:v>22</c:v>
                </c:pt>
                <c:pt idx="29">
                  <c:v>20</c:v>
                </c:pt>
                <c:pt idx="30">
                  <c:v>18</c:v>
                </c:pt>
                <c:pt idx="31">
                  <c:v>17</c:v>
                </c:pt>
                <c:pt idx="32">
                  <c:v>16</c:v>
                </c:pt>
                <c:pt idx="33">
                  <c:v>15</c:v>
                </c:pt>
                <c:pt idx="34">
                  <c:v>14</c:v>
                </c:pt>
                <c:pt idx="35">
                  <c:v>11</c:v>
                </c:pt>
                <c:pt idx="36">
                  <c:v>9</c:v>
                </c:pt>
                <c:pt idx="37">
                  <c:v>9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4</c:v>
                </c:pt>
                <c:pt idx="45">
                  <c:v>3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6-4979-BAD4-9D0C518E8BCD}"/>
            </c:ext>
          </c:extLst>
        </c:ser>
        <c:ser>
          <c:idx val="2"/>
          <c:order val="2"/>
          <c:tx>
            <c:strRef>
              <c:f>Sheet1!$D$8</c:f>
              <c:strCache>
                <c:ptCount val="1"/>
                <c:pt idx="0">
                  <c:v>사망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Sheet1!$D$9:$D$109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7</c:v>
                </c:pt>
                <c:pt idx="14">
                  <c:v>1</c:v>
                </c:pt>
                <c:pt idx="15">
                  <c:v>4</c:v>
                </c:pt>
                <c:pt idx="16">
                  <c:v>6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5</c:v>
                </c:pt>
                <c:pt idx="21">
                  <c:v>5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4</c:v>
                </c:pt>
                <c:pt idx="35">
                  <c:v>2</c:v>
                </c:pt>
                <c:pt idx="36">
                  <c:v>0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E6-4979-BAD4-9D0C518E8BCD}"/>
            </c:ext>
          </c:extLst>
        </c:ser>
        <c:ser>
          <c:idx val="4"/>
          <c:order val="4"/>
          <c:tx>
            <c:strRef>
              <c:f>Sheet1!$F$8</c:f>
              <c:strCache>
                <c:ptCount val="1"/>
                <c:pt idx="0">
                  <c:v>인구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Sheet1!$F$9:$F$109</c:f>
              <c:numCache>
                <c:formatCode>General</c:formatCode>
                <c:ptCount val="10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99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96</c:v>
                </c:pt>
                <c:pt idx="9">
                  <c:v>91</c:v>
                </c:pt>
                <c:pt idx="10">
                  <c:v>90</c:v>
                </c:pt>
                <c:pt idx="11">
                  <c:v>89</c:v>
                </c:pt>
                <c:pt idx="12">
                  <c:v>88</c:v>
                </c:pt>
                <c:pt idx="13">
                  <c:v>81</c:v>
                </c:pt>
                <c:pt idx="14">
                  <c:v>80</c:v>
                </c:pt>
                <c:pt idx="15">
                  <c:v>76</c:v>
                </c:pt>
                <c:pt idx="16">
                  <c:v>70</c:v>
                </c:pt>
                <c:pt idx="17">
                  <c:v>65</c:v>
                </c:pt>
                <c:pt idx="18">
                  <c:v>59</c:v>
                </c:pt>
                <c:pt idx="19">
                  <c:v>53</c:v>
                </c:pt>
                <c:pt idx="20">
                  <c:v>48</c:v>
                </c:pt>
                <c:pt idx="21">
                  <c:v>43</c:v>
                </c:pt>
                <c:pt idx="22">
                  <c:v>39</c:v>
                </c:pt>
                <c:pt idx="23">
                  <c:v>35</c:v>
                </c:pt>
                <c:pt idx="24">
                  <c:v>32</c:v>
                </c:pt>
                <c:pt idx="25">
                  <c:v>29</c:v>
                </c:pt>
                <c:pt idx="26">
                  <c:v>27</c:v>
                </c:pt>
                <c:pt idx="27">
                  <c:v>24</c:v>
                </c:pt>
                <c:pt idx="28">
                  <c:v>22</c:v>
                </c:pt>
                <c:pt idx="29">
                  <c:v>20</c:v>
                </c:pt>
                <c:pt idx="30">
                  <c:v>18</c:v>
                </c:pt>
                <c:pt idx="31">
                  <c:v>17</c:v>
                </c:pt>
                <c:pt idx="32">
                  <c:v>16</c:v>
                </c:pt>
                <c:pt idx="33">
                  <c:v>15</c:v>
                </c:pt>
                <c:pt idx="34">
                  <c:v>11</c:v>
                </c:pt>
                <c:pt idx="35">
                  <c:v>9</c:v>
                </c:pt>
                <c:pt idx="36">
                  <c:v>9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5</c:v>
                </c:pt>
                <c:pt idx="43">
                  <c:v>4</c:v>
                </c:pt>
                <c:pt idx="44">
                  <c:v>3</c:v>
                </c:pt>
                <c:pt idx="45">
                  <c:v>3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E6-4979-BAD4-9D0C518E8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9554576"/>
        <c:axId val="157462472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Sheet1!$E$8</c15:sqref>
                        </c15:formulaRef>
                      </c:ext>
                    </c:extLst>
                    <c:strCache>
                      <c:ptCount val="1"/>
                      <c:pt idx="0">
                        <c:v>누적사망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Sheet1!$E$9:$E$109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</c:v>
                      </c:pt>
                      <c:pt idx="4">
                        <c:v>2</c:v>
                      </c:pt>
                      <c:pt idx="5">
                        <c:v>2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4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19</c:v>
                      </c:pt>
                      <c:pt idx="14">
                        <c:v>20</c:v>
                      </c:pt>
                      <c:pt idx="15">
                        <c:v>24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41</c:v>
                      </c:pt>
                      <c:pt idx="19">
                        <c:v>47</c:v>
                      </c:pt>
                      <c:pt idx="20">
                        <c:v>52</c:v>
                      </c:pt>
                      <c:pt idx="21">
                        <c:v>57</c:v>
                      </c:pt>
                      <c:pt idx="22">
                        <c:v>61</c:v>
                      </c:pt>
                      <c:pt idx="23">
                        <c:v>65</c:v>
                      </c:pt>
                      <c:pt idx="24">
                        <c:v>68</c:v>
                      </c:pt>
                      <c:pt idx="25">
                        <c:v>71</c:v>
                      </c:pt>
                      <c:pt idx="26">
                        <c:v>73</c:v>
                      </c:pt>
                      <c:pt idx="27">
                        <c:v>76</c:v>
                      </c:pt>
                      <c:pt idx="28">
                        <c:v>78</c:v>
                      </c:pt>
                      <c:pt idx="29">
                        <c:v>80</c:v>
                      </c:pt>
                      <c:pt idx="30">
                        <c:v>82</c:v>
                      </c:pt>
                      <c:pt idx="31">
                        <c:v>83</c:v>
                      </c:pt>
                      <c:pt idx="32">
                        <c:v>84</c:v>
                      </c:pt>
                      <c:pt idx="33">
                        <c:v>85</c:v>
                      </c:pt>
                      <c:pt idx="34">
                        <c:v>89</c:v>
                      </c:pt>
                      <c:pt idx="35">
                        <c:v>91</c:v>
                      </c:pt>
                      <c:pt idx="36">
                        <c:v>91</c:v>
                      </c:pt>
                      <c:pt idx="37">
                        <c:v>94</c:v>
                      </c:pt>
                      <c:pt idx="38">
                        <c:v>94</c:v>
                      </c:pt>
                      <c:pt idx="39">
                        <c:v>94</c:v>
                      </c:pt>
                      <c:pt idx="40">
                        <c:v>94</c:v>
                      </c:pt>
                      <c:pt idx="41">
                        <c:v>94</c:v>
                      </c:pt>
                      <c:pt idx="42">
                        <c:v>95</c:v>
                      </c:pt>
                      <c:pt idx="43">
                        <c:v>96</c:v>
                      </c:pt>
                      <c:pt idx="44">
                        <c:v>97</c:v>
                      </c:pt>
                      <c:pt idx="45">
                        <c:v>97</c:v>
                      </c:pt>
                      <c:pt idx="46">
                        <c:v>98</c:v>
                      </c:pt>
                      <c:pt idx="47">
                        <c:v>98</c:v>
                      </c:pt>
                      <c:pt idx="48">
                        <c:v>98</c:v>
                      </c:pt>
                      <c:pt idx="49">
                        <c:v>98</c:v>
                      </c:pt>
                      <c:pt idx="50">
                        <c:v>98</c:v>
                      </c:pt>
                      <c:pt idx="51">
                        <c:v>98</c:v>
                      </c:pt>
                      <c:pt idx="52">
                        <c:v>98</c:v>
                      </c:pt>
                      <c:pt idx="53">
                        <c:v>99</c:v>
                      </c:pt>
                      <c:pt idx="54">
                        <c:v>99</c:v>
                      </c:pt>
                      <c:pt idx="55">
                        <c:v>100</c:v>
                      </c:pt>
                      <c:pt idx="56">
                        <c:v>100</c:v>
                      </c:pt>
                      <c:pt idx="57">
                        <c:v>100</c:v>
                      </c:pt>
                      <c:pt idx="58">
                        <c:v>100</c:v>
                      </c:pt>
                      <c:pt idx="59">
                        <c:v>100</c:v>
                      </c:pt>
                      <c:pt idx="60">
                        <c:v>100</c:v>
                      </c:pt>
                      <c:pt idx="61">
                        <c:v>100</c:v>
                      </c:pt>
                      <c:pt idx="62">
                        <c:v>100</c:v>
                      </c:pt>
                      <c:pt idx="63">
                        <c:v>100</c:v>
                      </c:pt>
                      <c:pt idx="64">
                        <c:v>100</c:v>
                      </c:pt>
                      <c:pt idx="65">
                        <c:v>100</c:v>
                      </c:pt>
                      <c:pt idx="66">
                        <c:v>100</c:v>
                      </c:pt>
                      <c:pt idx="67">
                        <c:v>100</c:v>
                      </c:pt>
                      <c:pt idx="68">
                        <c:v>100</c:v>
                      </c:pt>
                      <c:pt idx="69">
                        <c:v>100</c:v>
                      </c:pt>
                      <c:pt idx="70">
                        <c:v>100</c:v>
                      </c:pt>
                      <c:pt idx="71">
                        <c:v>100</c:v>
                      </c:pt>
                      <c:pt idx="72">
                        <c:v>100</c:v>
                      </c:pt>
                      <c:pt idx="73">
                        <c:v>100</c:v>
                      </c:pt>
                      <c:pt idx="74">
                        <c:v>100</c:v>
                      </c:pt>
                      <c:pt idx="75">
                        <c:v>100</c:v>
                      </c:pt>
                      <c:pt idx="76">
                        <c:v>100</c:v>
                      </c:pt>
                      <c:pt idx="77">
                        <c:v>100</c:v>
                      </c:pt>
                      <c:pt idx="78">
                        <c:v>100</c:v>
                      </c:pt>
                      <c:pt idx="79">
                        <c:v>100</c:v>
                      </c:pt>
                      <c:pt idx="80">
                        <c:v>100</c:v>
                      </c:pt>
                      <c:pt idx="81">
                        <c:v>100</c:v>
                      </c:pt>
                      <c:pt idx="82">
                        <c:v>100</c:v>
                      </c:pt>
                      <c:pt idx="83">
                        <c:v>100</c:v>
                      </c:pt>
                      <c:pt idx="84">
                        <c:v>100</c:v>
                      </c:pt>
                      <c:pt idx="85">
                        <c:v>100</c:v>
                      </c:pt>
                      <c:pt idx="86">
                        <c:v>100</c:v>
                      </c:pt>
                      <c:pt idx="87">
                        <c:v>100</c:v>
                      </c:pt>
                      <c:pt idx="88">
                        <c:v>100</c:v>
                      </c:pt>
                      <c:pt idx="89">
                        <c:v>100</c:v>
                      </c:pt>
                      <c:pt idx="90">
                        <c:v>100</c:v>
                      </c:pt>
                      <c:pt idx="91">
                        <c:v>100</c:v>
                      </c:pt>
                      <c:pt idx="92">
                        <c:v>100</c:v>
                      </c:pt>
                      <c:pt idx="93">
                        <c:v>100</c:v>
                      </c:pt>
                      <c:pt idx="94">
                        <c:v>100</c:v>
                      </c:pt>
                      <c:pt idx="95">
                        <c:v>100</c:v>
                      </c:pt>
                      <c:pt idx="96">
                        <c:v>100</c:v>
                      </c:pt>
                      <c:pt idx="97">
                        <c:v>100</c:v>
                      </c:pt>
                      <c:pt idx="98">
                        <c:v>100</c:v>
                      </c:pt>
                      <c:pt idx="99">
                        <c:v>100</c:v>
                      </c:pt>
                      <c:pt idx="100">
                        <c:v>100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FE6-4979-BAD4-9D0C518E8BCD}"/>
                  </c:ext>
                </c:extLst>
              </c15:ser>
            </c15:filteredLineSeries>
          </c:ext>
        </c:extLst>
      </c:lineChart>
      <c:catAx>
        <c:axId val="1739554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74624720"/>
        <c:crosses val="autoZero"/>
        <c:auto val="1"/>
        <c:lblAlgn val="ctr"/>
        <c:lblOffset val="100"/>
        <c:noMultiLvlLbl val="0"/>
      </c:catAx>
      <c:valAx>
        <c:axId val="157462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955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409575</xdr:colOff>
      <xdr:row>11</xdr:row>
      <xdr:rowOff>19050</xdr:rowOff>
    </xdr:from>
    <xdr:to>
      <xdr:col>19</xdr:col>
      <xdr:colOff>180975</xdr:colOff>
      <xdr:row>24</xdr:row>
      <xdr:rowOff>38100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8F5B4FB-A33B-4BBE-ABC4-D75965CAFE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D5881-EED8-4A4B-8EF7-D8C6DB8B144B}">
  <sheetPr codeName="Sheet1"/>
  <dimension ref="A1:K109"/>
  <sheetViews>
    <sheetView workbookViewId="0">
      <selection activeCell="E2" sqref="E2"/>
    </sheetView>
  </sheetViews>
  <sheetFormatPr defaultRowHeight="16.5" x14ac:dyDescent="0.3"/>
  <cols>
    <col min="1" max="1" width="21.5" bestFit="1" customWidth="1"/>
  </cols>
  <sheetData>
    <row r="1" spans="1:9" x14ac:dyDescent="0.3">
      <c r="A1" t="s">
        <v>0</v>
      </c>
      <c r="D1" t="s">
        <v>12</v>
      </c>
      <c r="E1">
        <v>0</v>
      </c>
    </row>
    <row r="3" spans="1:9" x14ac:dyDescent="0.3">
      <c r="A3" t="s">
        <v>1</v>
      </c>
      <c r="B3">
        <v>0.05</v>
      </c>
      <c r="D3" t="s">
        <v>10</v>
      </c>
      <c r="E3">
        <f>B3*B4</f>
        <v>5.000000000000001E-3</v>
      </c>
    </row>
    <row r="4" spans="1:9" x14ac:dyDescent="0.3">
      <c r="A4" t="s">
        <v>2</v>
      </c>
      <c r="B4">
        <v>0.1</v>
      </c>
      <c r="D4" t="s">
        <v>11</v>
      </c>
      <c r="E4">
        <f>1-E3</f>
        <v>0.995</v>
      </c>
    </row>
    <row r="5" spans="1:9" x14ac:dyDescent="0.3">
      <c r="A5" t="s">
        <v>3</v>
      </c>
      <c r="B5">
        <v>0.1</v>
      </c>
    </row>
    <row r="8" spans="1:9" x14ac:dyDescent="0.3">
      <c r="A8" t="s">
        <v>4</v>
      </c>
      <c r="B8" t="s">
        <v>5</v>
      </c>
      <c r="C8" t="s">
        <v>6</v>
      </c>
      <c r="D8" t="s">
        <v>7</v>
      </c>
      <c r="E8" t="s">
        <v>8</v>
      </c>
      <c r="F8" t="s">
        <v>9</v>
      </c>
    </row>
    <row r="9" spans="1:9" x14ac:dyDescent="0.3">
      <c r="A9">
        <v>0</v>
      </c>
      <c r="B9">
        <v>99</v>
      </c>
      <c r="C9">
        <v>1</v>
      </c>
      <c r="D9">
        <v>0</v>
      </c>
      <c r="E9">
        <v>0</v>
      </c>
      <c r="F9">
        <f>B9+C9</f>
        <v>100</v>
      </c>
    </row>
    <row r="10" spans="1:9" x14ac:dyDescent="0.3">
      <c r="A10">
        <v>1</v>
      </c>
      <c r="B10">
        <f>rdBinomial(B9,$E$4^C9,$E$1)</f>
        <v>99</v>
      </c>
      <c r="C10">
        <f>C9-D9+B9-B10</f>
        <v>1</v>
      </c>
      <c r="D10">
        <f>rdBinomial(C10,$B$5,$E$1)</f>
        <v>0</v>
      </c>
      <c r="E10">
        <f>D10+E9</f>
        <v>0</v>
      </c>
      <c r="F10">
        <f>100-E10</f>
        <v>100</v>
      </c>
    </row>
    <row r="11" spans="1:9" x14ac:dyDescent="0.3">
      <c r="A11">
        <v>2</v>
      </c>
      <c r="B11">
        <f t="shared" ref="B11:B15" si="0">rdBinomial(B10,$E$4^C10,$E$1)</f>
        <v>99</v>
      </c>
      <c r="C11">
        <f t="shared" ref="C11:C15" si="1">C10-D10+B10-B11</f>
        <v>1</v>
      </c>
      <c r="D11">
        <f t="shared" ref="D11:D74" si="2">rdBinomial(C11,$B$5,$E$1)</f>
        <v>0</v>
      </c>
      <c r="E11">
        <f t="shared" ref="E11:E15" si="3">D11+E10</f>
        <v>0</v>
      </c>
      <c r="F11">
        <f t="shared" ref="F11:F74" si="4">100-E11</f>
        <v>100</v>
      </c>
    </row>
    <row r="12" spans="1:9" x14ac:dyDescent="0.3">
      <c r="A12">
        <v>3</v>
      </c>
      <c r="B12">
        <f t="shared" si="0"/>
        <v>98</v>
      </c>
      <c r="C12">
        <f t="shared" si="1"/>
        <v>2</v>
      </c>
      <c r="D12">
        <f t="shared" si="2"/>
        <v>1</v>
      </c>
      <c r="E12">
        <f t="shared" si="3"/>
        <v>1</v>
      </c>
      <c r="F12">
        <f t="shared" si="4"/>
        <v>99</v>
      </c>
      <c r="H12" t="s">
        <v>9</v>
      </c>
      <c r="I12">
        <f>F109</f>
        <v>0</v>
      </c>
    </row>
    <row r="13" spans="1:9" x14ac:dyDescent="0.3">
      <c r="A13">
        <v>4</v>
      </c>
      <c r="B13">
        <f t="shared" si="0"/>
        <v>96</v>
      </c>
      <c r="C13">
        <f t="shared" si="1"/>
        <v>3</v>
      </c>
      <c r="D13">
        <f t="shared" si="2"/>
        <v>1</v>
      </c>
      <c r="E13">
        <f t="shared" si="3"/>
        <v>2</v>
      </c>
      <c r="F13">
        <f t="shared" si="4"/>
        <v>98</v>
      </c>
      <c r="H13" t="s">
        <v>13</v>
      </c>
      <c r="I13">
        <f>IF(F109=0,1,0)</f>
        <v>1</v>
      </c>
    </row>
    <row r="14" spans="1:9" x14ac:dyDescent="0.3">
      <c r="A14">
        <v>5</v>
      </c>
      <c r="B14">
        <f t="shared" si="0"/>
        <v>95</v>
      </c>
      <c r="C14">
        <f t="shared" si="1"/>
        <v>3</v>
      </c>
      <c r="D14">
        <f t="shared" si="2"/>
        <v>0</v>
      </c>
      <c r="E14">
        <f t="shared" si="3"/>
        <v>2</v>
      </c>
      <c r="F14">
        <f t="shared" si="4"/>
        <v>98</v>
      </c>
      <c r="H14" t="s">
        <v>14</v>
      </c>
      <c r="I14">
        <f>IF(F109&lt;&gt;0,1,0)</f>
        <v>0</v>
      </c>
    </row>
    <row r="15" spans="1:9" x14ac:dyDescent="0.3">
      <c r="A15">
        <v>6</v>
      </c>
      <c r="B15">
        <f t="shared" si="0"/>
        <v>94</v>
      </c>
      <c r="C15">
        <f t="shared" si="1"/>
        <v>4</v>
      </c>
      <c r="D15">
        <f t="shared" si="2"/>
        <v>0</v>
      </c>
      <c r="E15">
        <f t="shared" si="3"/>
        <v>2</v>
      </c>
      <c r="F15">
        <f t="shared" si="4"/>
        <v>98</v>
      </c>
    </row>
    <row r="16" spans="1:9" x14ac:dyDescent="0.3">
      <c r="A16">
        <v>7</v>
      </c>
      <c r="B16">
        <f t="shared" ref="B16:B31" si="5">rdBinomial(B15,$E$4^C15,$E$1)</f>
        <v>92</v>
      </c>
      <c r="C16">
        <f t="shared" ref="C16:C31" si="6">C15-D15+B15-B16</f>
        <v>6</v>
      </c>
      <c r="D16">
        <f t="shared" si="2"/>
        <v>0</v>
      </c>
      <c r="E16">
        <f t="shared" ref="E16:E31" si="7">D16+E15</f>
        <v>2</v>
      </c>
      <c r="F16">
        <f t="shared" si="4"/>
        <v>98</v>
      </c>
    </row>
    <row r="17" spans="1:11" x14ac:dyDescent="0.3">
      <c r="A17">
        <v>8</v>
      </c>
      <c r="B17">
        <f t="shared" si="5"/>
        <v>87</v>
      </c>
      <c r="C17">
        <f t="shared" si="6"/>
        <v>11</v>
      </c>
      <c r="D17">
        <f t="shared" si="2"/>
        <v>2</v>
      </c>
      <c r="E17">
        <f t="shared" si="7"/>
        <v>4</v>
      </c>
      <c r="F17">
        <f t="shared" si="4"/>
        <v>96</v>
      </c>
    </row>
    <row r="18" spans="1:11" x14ac:dyDescent="0.3">
      <c r="A18">
        <v>9</v>
      </c>
      <c r="B18">
        <f t="shared" si="5"/>
        <v>79</v>
      </c>
      <c r="C18">
        <f t="shared" si="6"/>
        <v>17</v>
      </c>
      <c r="D18">
        <f t="shared" si="2"/>
        <v>5</v>
      </c>
      <c r="E18">
        <f t="shared" si="7"/>
        <v>9</v>
      </c>
      <c r="F18">
        <f t="shared" si="4"/>
        <v>91</v>
      </c>
      <c r="I18" t="s">
        <v>9</v>
      </c>
      <c r="J18" t="s">
        <v>19</v>
      </c>
      <c r="K18" t="s">
        <v>20</v>
      </c>
    </row>
    <row r="19" spans="1:11" x14ac:dyDescent="0.3">
      <c r="A19">
        <v>10</v>
      </c>
      <c r="B19">
        <f t="shared" si="5"/>
        <v>74</v>
      </c>
      <c r="C19">
        <f t="shared" si="6"/>
        <v>17</v>
      </c>
      <c r="D19">
        <f t="shared" si="2"/>
        <v>1</v>
      </c>
      <c r="E19">
        <f t="shared" si="7"/>
        <v>10</v>
      </c>
      <c r="F19">
        <f t="shared" si="4"/>
        <v>90</v>
      </c>
      <c r="H19" t="s">
        <v>15</v>
      </c>
      <c r="I19">
        <v>7.5960000000000001</v>
      </c>
      <c r="J19">
        <v>0.44900000000000001</v>
      </c>
      <c r="K19">
        <v>0.55100000000000005</v>
      </c>
    </row>
    <row r="20" spans="1:11" x14ac:dyDescent="0.3">
      <c r="A20">
        <v>11</v>
      </c>
      <c r="B20">
        <f t="shared" si="5"/>
        <v>70</v>
      </c>
      <c r="C20">
        <f t="shared" si="6"/>
        <v>20</v>
      </c>
      <c r="D20">
        <f t="shared" si="2"/>
        <v>1</v>
      </c>
      <c r="E20">
        <f t="shared" si="7"/>
        <v>11</v>
      </c>
      <c r="F20">
        <f t="shared" si="4"/>
        <v>89</v>
      </c>
      <c r="H20" t="s">
        <v>16</v>
      </c>
      <c r="I20">
        <v>24.819847074645903</v>
      </c>
    </row>
    <row r="21" spans="1:11" x14ac:dyDescent="0.3">
      <c r="A21">
        <v>12</v>
      </c>
      <c r="B21">
        <f t="shared" si="5"/>
        <v>64</v>
      </c>
      <c r="C21">
        <f t="shared" si="6"/>
        <v>25</v>
      </c>
      <c r="D21">
        <f t="shared" si="2"/>
        <v>1</v>
      </c>
      <c r="E21">
        <f t="shared" si="7"/>
        <v>12</v>
      </c>
      <c r="F21">
        <f t="shared" si="4"/>
        <v>88</v>
      </c>
      <c r="H21" t="s">
        <v>17</v>
      </c>
      <c r="I21">
        <v>0</v>
      </c>
    </row>
    <row r="22" spans="1:11" x14ac:dyDescent="0.3">
      <c r="A22">
        <v>13</v>
      </c>
      <c r="B22">
        <f t="shared" si="5"/>
        <v>58</v>
      </c>
      <c r="C22">
        <f t="shared" si="6"/>
        <v>30</v>
      </c>
      <c r="D22">
        <f t="shared" si="2"/>
        <v>7</v>
      </c>
      <c r="E22">
        <f t="shared" si="7"/>
        <v>19</v>
      </c>
      <c r="F22">
        <f t="shared" si="4"/>
        <v>81</v>
      </c>
      <c r="H22" t="s">
        <v>18</v>
      </c>
      <c r="I22">
        <v>98</v>
      </c>
    </row>
    <row r="23" spans="1:11" x14ac:dyDescent="0.3">
      <c r="A23">
        <v>14</v>
      </c>
      <c r="B23">
        <f t="shared" si="5"/>
        <v>47</v>
      </c>
      <c r="C23">
        <f t="shared" si="6"/>
        <v>34</v>
      </c>
      <c r="D23">
        <f t="shared" si="2"/>
        <v>1</v>
      </c>
      <c r="E23">
        <f t="shared" si="7"/>
        <v>20</v>
      </c>
      <c r="F23">
        <f t="shared" si="4"/>
        <v>80</v>
      </c>
    </row>
    <row r="24" spans="1:11" x14ac:dyDescent="0.3">
      <c r="A24">
        <v>15</v>
      </c>
      <c r="B24">
        <f t="shared" si="5"/>
        <v>42</v>
      </c>
      <c r="C24">
        <f t="shared" si="6"/>
        <v>38</v>
      </c>
      <c r="D24">
        <f t="shared" si="2"/>
        <v>4</v>
      </c>
      <c r="E24">
        <f t="shared" si="7"/>
        <v>24</v>
      </c>
      <c r="F24">
        <f t="shared" si="4"/>
        <v>76</v>
      </c>
    </row>
    <row r="25" spans="1:11" x14ac:dyDescent="0.3">
      <c r="A25">
        <v>16</v>
      </c>
      <c r="B25">
        <f t="shared" si="5"/>
        <v>31</v>
      </c>
      <c r="C25">
        <f t="shared" si="6"/>
        <v>45</v>
      </c>
      <c r="D25">
        <f t="shared" si="2"/>
        <v>6</v>
      </c>
      <c r="E25">
        <f t="shared" si="7"/>
        <v>30</v>
      </c>
      <c r="F25">
        <f t="shared" si="4"/>
        <v>70</v>
      </c>
    </row>
    <row r="26" spans="1:11" x14ac:dyDescent="0.3">
      <c r="A26">
        <v>17</v>
      </c>
      <c r="B26">
        <f t="shared" si="5"/>
        <v>23</v>
      </c>
      <c r="C26">
        <f t="shared" si="6"/>
        <v>47</v>
      </c>
      <c r="D26">
        <f t="shared" si="2"/>
        <v>5</v>
      </c>
      <c r="E26">
        <f t="shared" si="7"/>
        <v>35</v>
      </c>
      <c r="F26">
        <f t="shared" si="4"/>
        <v>65</v>
      </c>
    </row>
    <row r="27" spans="1:11" x14ac:dyDescent="0.3">
      <c r="A27">
        <v>18</v>
      </c>
      <c r="B27">
        <f t="shared" si="5"/>
        <v>18</v>
      </c>
      <c r="C27">
        <f t="shared" si="6"/>
        <v>47</v>
      </c>
      <c r="D27">
        <f t="shared" si="2"/>
        <v>6</v>
      </c>
      <c r="E27">
        <f t="shared" si="7"/>
        <v>41</v>
      </c>
      <c r="F27">
        <f t="shared" si="4"/>
        <v>59</v>
      </c>
    </row>
    <row r="28" spans="1:11" x14ac:dyDescent="0.3">
      <c r="A28">
        <v>19</v>
      </c>
      <c r="B28">
        <f t="shared" si="5"/>
        <v>13</v>
      </c>
      <c r="C28">
        <f t="shared" si="6"/>
        <v>46</v>
      </c>
      <c r="D28">
        <f t="shared" si="2"/>
        <v>6</v>
      </c>
      <c r="E28">
        <f t="shared" si="7"/>
        <v>47</v>
      </c>
      <c r="F28">
        <f t="shared" si="4"/>
        <v>53</v>
      </c>
    </row>
    <row r="29" spans="1:11" x14ac:dyDescent="0.3">
      <c r="A29">
        <v>20</v>
      </c>
      <c r="B29">
        <f t="shared" si="5"/>
        <v>11</v>
      </c>
      <c r="C29">
        <f t="shared" si="6"/>
        <v>42</v>
      </c>
      <c r="D29">
        <f t="shared" si="2"/>
        <v>5</v>
      </c>
      <c r="E29">
        <f t="shared" si="7"/>
        <v>52</v>
      </c>
      <c r="F29">
        <f t="shared" si="4"/>
        <v>48</v>
      </c>
    </row>
    <row r="30" spans="1:11" x14ac:dyDescent="0.3">
      <c r="A30">
        <v>21</v>
      </c>
      <c r="B30">
        <f t="shared" si="5"/>
        <v>9</v>
      </c>
      <c r="C30">
        <f t="shared" si="6"/>
        <v>39</v>
      </c>
      <c r="D30">
        <f t="shared" si="2"/>
        <v>5</v>
      </c>
      <c r="E30">
        <f t="shared" si="7"/>
        <v>57</v>
      </c>
      <c r="F30">
        <f t="shared" si="4"/>
        <v>43</v>
      </c>
    </row>
    <row r="31" spans="1:11" x14ac:dyDescent="0.3">
      <c r="A31">
        <v>22</v>
      </c>
      <c r="B31">
        <f t="shared" si="5"/>
        <v>7</v>
      </c>
      <c r="C31">
        <f t="shared" si="6"/>
        <v>36</v>
      </c>
      <c r="D31">
        <f t="shared" si="2"/>
        <v>4</v>
      </c>
      <c r="E31">
        <f t="shared" si="7"/>
        <v>61</v>
      </c>
      <c r="F31">
        <f t="shared" si="4"/>
        <v>39</v>
      </c>
    </row>
    <row r="32" spans="1:11" x14ac:dyDescent="0.3">
      <c r="A32">
        <v>23</v>
      </c>
      <c r="B32">
        <f t="shared" ref="B32:B95" si="8">rdBinomial(B31,$E$4^C31,$E$1)</f>
        <v>6</v>
      </c>
      <c r="C32">
        <f t="shared" ref="C32:C95" si="9">C31-D31+B31-B32</f>
        <v>33</v>
      </c>
      <c r="D32">
        <f t="shared" si="2"/>
        <v>4</v>
      </c>
      <c r="E32">
        <f t="shared" ref="E32:E95" si="10">D32+E31</f>
        <v>65</v>
      </c>
      <c r="F32">
        <f t="shared" si="4"/>
        <v>35</v>
      </c>
    </row>
    <row r="33" spans="1:6" x14ac:dyDescent="0.3">
      <c r="A33">
        <v>24</v>
      </c>
      <c r="B33">
        <f t="shared" si="8"/>
        <v>5</v>
      </c>
      <c r="C33">
        <f t="shared" si="9"/>
        <v>30</v>
      </c>
      <c r="D33">
        <f t="shared" si="2"/>
        <v>3</v>
      </c>
      <c r="E33">
        <f t="shared" si="10"/>
        <v>68</v>
      </c>
      <c r="F33">
        <f t="shared" si="4"/>
        <v>32</v>
      </c>
    </row>
    <row r="34" spans="1:6" x14ac:dyDescent="0.3">
      <c r="A34">
        <v>25</v>
      </c>
      <c r="B34">
        <f t="shared" si="8"/>
        <v>5</v>
      </c>
      <c r="C34">
        <f t="shared" si="9"/>
        <v>27</v>
      </c>
      <c r="D34">
        <f t="shared" si="2"/>
        <v>3</v>
      </c>
      <c r="E34">
        <f t="shared" si="10"/>
        <v>71</v>
      </c>
      <c r="F34">
        <f t="shared" si="4"/>
        <v>29</v>
      </c>
    </row>
    <row r="35" spans="1:6" x14ac:dyDescent="0.3">
      <c r="A35">
        <v>26</v>
      </c>
      <c r="B35">
        <f t="shared" si="8"/>
        <v>4</v>
      </c>
      <c r="C35">
        <f t="shared" si="9"/>
        <v>25</v>
      </c>
      <c r="D35">
        <f t="shared" si="2"/>
        <v>2</v>
      </c>
      <c r="E35">
        <f t="shared" si="10"/>
        <v>73</v>
      </c>
      <c r="F35">
        <f t="shared" si="4"/>
        <v>27</v>
      </c>
    </row>
    <row r="36" spans="1:6" x14ac:dyDescent="0.3">
      <c r="A36">
        <v>27</v>
      </c>
      <c r="B36">
        <f t="shared" si="8"/>
        <v>2</v>
      </c>
      <c r="C36">
        <f t="shared" si="9"/>
        <v>25</v>
      </c>
      <c r="D36">
        <f t="shared" si="2"/>
        <v>3</v>
      </c>
      <c r="E36">
        <f t="shared" si="10"/>
        <v>76</v>
      </c>
      <c r="F36">
        <f t="shared" si="4"/>
        <v>24</v>
      </c>
    </row>
    <row r="37" spans="1:6" x14ac:dyDescent="0.3">
      <c r="A37">
        <v>28</v>
      </c>
      <c r="B37">
        <f t="shared" si="8"/>
        <v>2</v>
      </c>
      <c r="C37">
        <f t="shared" si="9"/>
        <v>22</v>
      </c>
      <c r="D37">
        <f t="shared" si="2"/>
        <v>2</v>
      </c>
      <c r="E37">
        <f t="shared" si="10"/>
        <v>78</v>
      </c>
      <c r="F37">
        <f t="shared" si="4"/>
        <v>22</v>
      </c>
    </row>
    <row r="38" spans="1:6" x14ac:dyDescent="0.3">
      <c r="A38">
        <v>29</v>
      </c>
      <c r="B38">
        <f t="shared" si="8"/>
        <v>2</v>
      </c>
      <c r="C38">
        <f t="shared" si="9"/>
        <v>20</v>
      </c>
      <c r="D38">
        <f t="shared" si="2"/>
        <v>2</v>
      </c>
      <c r="E38">
        <f t="shared" si="10"/>
        <v>80</v>
      </c>
      <c r="F38">
        <f t="shared" si="4"/>
        <v>20</v>
      </c>
    </row>
    <row r="39" spans="1:6" x14ac:dyDescent="0.3">
      <c r="A39">
        <v>30</v>
      </c>
      <c r="B39">
        <f t="shared" si="8"/>
        <v>2</v>
      </c>
      <c r="C39">
        <f t="shared" si="9"/>
        <v>18</v>
      </c>
      <c r="D39">
        <f t="shared" si="2"/>
        <v>2</v>
      </c>
      <c r="E39">
        <f t="shared" si="10"/>
        <v>82</v>
      </c>
      <c r="F39">
        <f t="shared" si="4"/>
        <v>18</v>
      </c>
    </row>
    <row r="40" spans="1:6" x14ac:dyDescent="0.3">
      <c r="A40">
        <v>31</v>
      </c>
      <c r="B40">
        <f t="shared" si="8"/>
        <v>1</v>
      </c>
      <c r="C40">
        <f t="shared" si="9"/>
        <v>17</v>
      </c>
      <c r="D40">
        <f t="shared" si="2"/>
        <v>1</v>
      </c>
      <c r="E40">
        <f t="shared" si="10"/>
        <v>83</v>
      </c>
      <c r="F40">
        <f t="shared" si="4"/>
        <v>17</v>
      </c>
    </row>
    <row r="41" spans="1:6" x14ac:dyDescent="0.3">
      <c r="A41">
        <v>32</v>
      </c>
      <c r="B41">
        <f t="shared" si="8"/>
        <v>1</v>
      </c>
      <c r="C41">
        <f t="shared" si="9"/>
        <v>16</v>
      </c>
      <c r="D41">
        <f t="shared" si="2"/>
        <v>1</v>
      </c>
      <c r="E41">
        <f t="shared" si="10"/>
        <v>84</v>
      </c>
      <c r="F41">
        <f t="shared" si="4"/>
        <v>16</v>
      </c>
    </row>
    <row r="42" spans="1:6" x14ac:dyDescent="0.3">
      <c r="A42">
        <v>33</v>
      </c>
      <c r="B42">
        <f t="shared" si="8"/>
        <v>1</v>
      </c>
      <c r="C42">
        <f t="shared" si="9"/>
        <v>15</v>
      </c>
      <c r="D42">
        <f t="shared" si="2"/>
        <v>1</v>
      </c>
      <c r="E42">
        <f t="shared" si="10"/>
        <v>85</v>
      </c>
      <c r="F42">
        <f t="shared" si="4"/>
        <v>15</v>
      </c>
    </row>
    <row r="43" spans="1:6" x14ac:dyDescent="0.3">
      <c r="A43">
        <v>34</v>
      </c>
      <c r="B43">
        <f t="shared" si="8"/>
        <v>1</v>
      </c>
      <c r="C43">
        <f t="shared" si="9"/>
        <v>14</v>
      </c>
      <c r="D43">
        <f t="shared" si="2"/>
        <v>4</v>
      </c>
      <c r="E43">
        <f t="shared" si="10"/>
        <v>89</v>
      </c>
      <c r="F43">
        <f t="shared" si="4"/>
        <v>11</v>
      </c>
    </row>
    <row r="44" spans="1:6" x14ac:dyDescent="0.3">
      <c r="A44">
        <v>35</v>
      </c>
      <c r="B44">
        <f t="shared" si="8"/>
        <v>0</v>
      </c>
      <c r="C44">
        <f t="shared" si="9"/>
        <v>11</v>
      </c>
      <c r="D44">
        <f t="shared" si="2"/>
        <v>2</v>
      </c>
      <c r="E44">
        <f t="shared" si="10"/>
        <v>91</v>
      </c>
      <c r="F44">
        <f t="shared" si="4"/>
        <v>9</v>
      </c>
    </row>
    <row r="45" spans="1:6" x14ac:dyDescent="0.3">
      <c r="A45">
        <v>36</v>
      </c>
      <c r="B45">
        <f t="shared" si="8"/>
        <v>0</v>
      </c>
      <c r="C45">
        <f t="shared" si="9"/>
        <v>9</v>
      </c>
      <c r="D45">
        <f t="shared" si="2"/>
        <v>0</v>
      </c>
      <c r="E45">
        <f t="shared" si="10"/>
        <v>91</v>
      </c>
      <c r="F45">
        <f t="shared" si="4"/>
        <v>9</v>
      </c>
    </row>
    <row r="46" spans="1:6" x14ac:dyDescent="0.3">
      <c r="A46">
        <v>37</v>
      </c>
      <c r="B46">
        <f t="shared" si="8"/>
        <v>0</v>
      </c>
      <c r="C46">
        <f t="shared" si="9"/>
        <v>9</v>
      </c>
      <c r="D46">
        <f t="shared" si="2"/>
        <v>3</v>
      </c>
      <c r="E46">
        <f t="shared" si="10"/>
        <v>94</v>
      </c>
      <c r="F46">
        <f t="shared" si="4"/>
        <v>6</v>
      </c>
    </row>
    <row r="47" spans="1:6" x14ac:dyDescent="0.3">
      <c r="A47">
        <v>38</v>
      </c>
      <c r="B47">
        <f t="shared" si="8"/>
        <v>0</v>
      </c>
      <c r="C47">
        <f t="shared" si="9"/>
        <v>6</v>
      </c>
      <c r="D47">
        <f t="shared" si="2"/>
        <v>0</v>
      </c>
      <c r="E47">
        <f t="shared" si="10"/>
        <v>94</v>
      </c>
      <c r="F47">
        <f t="shared" si="4"/>
        <v>6</v>
      </c>
    </row>
    <row r="48" spans="1:6" x14ac:dyDescent="0.3">
      <c r="A48">
        <v>39</v>
      </c>
      <c r="B48">
        <f t="shared" si="8"/>
        <v>0</v>
      </c>
      <c r="C48">
        <f t="shared" si="9"/>
        <v>6</v>
      </c>
      <c r="D48">
        <f t="shared" si="2"/>
        <v>0</v>
      </c>
      <c r="E48">
        <f t="shared" si="10"/>
        <v>94</v>
      </c>
      <c r="F48">
        <f t="shared" si="4"/>
        <v>6</v>
      </c>
    </row>
    <row r="49" spans="1:6" x14ac:dyDescent="0.3">
      <c r="A49">
        <v>40</v>
      </c>
      <c r="B49">
        <f t="shared" si="8"/>
        <v>0</v>
      </c>
      <c r="C49">
        <f t="shared" si="9"/>
        <v>6</v>
      </c>
      <c r="D49">
        <f t="shared" si="2"/>
        <v>0</v>
      </c>
      <c r="E49">
        <f t="shared" si="10"/>
        <v>94</v>
      </c>
      <c r="F49">
        <f t="shared" si="4"/>
        <v>6</v>
      </c>
    </row>
    <row r="50" spans="1:6" x14ac:dyDescent="0.3">
      <c r="A50">
        <v>41</v>
      </c>
      <c r="B50">
        <f t="shared" si="8"/>
        <v>0</v>
      </c>
      <c r="C50">
        <f t="shared" si="9"/>
        <v>6</v>
      </c>
      <c r="D50">
        <f t="shared" si="2"/>
        <v>0</v>
      </c>
      <c r="E50">
        <f t="shared" si="10"/>
        <v>94</v>
      </c>
      <c r="F50">
        <f t="shared" si="4"/>
        <v>6</v>
      </c>
    </row>
    <row r="51" spans="1:6" x14ac:dyDescent="0.3">
      <c r="A51">
        <v>42</v>
      </c>
      <c r="B51">
        <f t="shared" si="8"/>
        <v>0</v>
      </c>
      <c r="C51">
        <f t="shared" si="9"/>
        <v>6</v>
      </c>
      <c r="D51">
        <f t="shared" si="2"/>
        <v>1</v>
      </c>
      <c r="E51">
        <f t="shared" si="10"/>
        <v>95</v>
      </c>
      <c r="F51">
        <f t="shared" si="4"/>
        <v>5</v>
      </c>
    </row>
    <row r="52" spans="1:6" x14ac:dyDescent="0.3">
      <c r="A52">
        <v>43</v>
      </c>
      <c r="B52">
        <f t="shared" si="8"/>
        <v>0</v>
      </c>
      <c r="C52">
        <f t="shared" si="9"/>
        <v>5</v>
      </c>
      <c r="D52">
        <f t="shared" si="2"/>
        <v>1</v>
      </c>
      <c r="E52">
        <f t="shared" si="10"/>
        <v>96</v>
      </c>
      <c r="F52">
        <f t="shared" si="4"/>
        <v>4</v>
      </c>
    </row>
    <row r="53" spans="1:6" x14ac:dyDescent="0.3">
      <c r="A53">
        <v>44</v>
      </c>
      <c r="B53">
        <f t="shared" si="8"/>
        <v>0</v>
      </c>
      <c r="C53">
        <f t="shared" si="9"/>
        <v>4</v>
      </c>
      <c r="D53">
        <f t="shared" si="2"/>
        <v>1</v>
      </c>
      <c r="E53">
        <f t="shared" si="10"/>
        <v>97</v>
      </c>
      <c r="F53">
        <f t="shared" si="4"/>
        <v>3</v>
      </c>
    </row>
    <row r="54" spans="1:6" x14ac:dyDescent="0.3">
      <c r="A54">
        <v>45</v>
      </c>
      <c r="B54">
        <f t="shared" si="8"/>
        <v>0</v>
      </c>
      <c r="C54">
        <f t="shared" si="9"/>
        <v>3</v>
      </c>
      <c r="D54">
        <f t="shared" si="2"/>
        <v>0</v>
      </c>
      <c r="E54">
        <f t="shared" si="10"/>
        <v>97</v>
      </c>
      <c r="F54">
        <f t="shared" si="4"/>
        <v>3</v>
      </c>
    </row>
    <row r="55" spans="1:6" x14ac:dyDescent="0.3">
      <c r="A55">
        <v>46</v>
      </c>
      <c r="B55">
        <f t="shared" si="8"/>
        <v>0</v>
      </c>
      <c r="C55">
        <f t="shared" si="9"/>
        <v>3</v>
      </c>
      <c r="D55">
        <f t="shared" si="2"/>
        <v>1</v>
      </c>
      <c r="E55">
        <f t="shared" si="10"/>
        <v>98</v>
      </c>
      <c r="F55">
        <f t="shared" si="4"/>
        <v>2</v>
      </c>
    </row>
    <row r="56" spans="1:6" x14ac:dyDescent="0.3">
      <c r="A56">
        <v>47</v>
      </c>
      <c r="B56">
        <f t="shared" si="8"/>
        <v>0</v>
      </c>
      <c r="C56">
        <f t="shared" si="9"/>
        <v>2</v>
      </c>
      <c r="D56">
        <f t="shared" si="2"/>
        <v>0</v>
      </c>
      <c r="E56">
        <f t="shared" si="10"/>
        <v>98</v>
      </c>
      <c r="F56">
        <f t="shared" si="4"/>
        <v>2</v>
      </c>
    </row>
    <row r="57" spans="1:6" x14ac:dyDescent="0.3">
      <c r="A57">
        <v>48</v>
      </c>
      <c r="B57">
        <f t="shared" si="8"/>
        <v>0</v>
      </c>
      <c r="C57">
        <f t="shared" si="9"/>
        <v>2</v>
      </c>
      <c r="D57">
        <f t="shared" si="2"/>
        <v>0</v>
      </c>
      <c r="E57">
        <f t="shared" si="10"/>
        <v>98</v>
      </c>
      <c r="F57">
        <f t="shared" si="4"/>
        <v>2</v>
      </c>
    </row>
    <row r="58" spans="1:6" x14ac:dyDescent="0.3">
      <c r="A58">
        <v>49</v>
      </c>
      <c r="B58">
        <f t="shared" si="8"/>
        <v>0</v>
      </c>
      <c r="C58">
        <f t="shared" si="9"/>
        <v>2</v>
      </c>
      <c r="D58">
        <f t="shared" si="2"/>
        <v>0</v>
      </c>
      <c r="E58">
        <f t="shared" si="10"/>
        <v>98</v>
      </c>
      <c r="F58">
        <f t="shared" si="4"/>
        <v>2</v>
      </c>
    </row>
    <row r="59" spans="1:6" x14ac:dyDescent="0.3">
      <c r="A59">
        <v>50</v>
      </c>
      <c r="B59">
        <f t="shared" si="8"/>
        <v>0</v>
      </c>
      <c r="C59">
        <f t="shared" si="9"/>
        <v>2</v>
      </c>
      <c r="D59">
        <f t="shared" si="2"/>
        <v>0</v>
      </c>
      <c r="E59">
        <f t="shared" si="10"/>
        <v>98</v>
      </c>
      <c r="F59">
        <f t="shared" si="4"/>
        <v>2</v>
      </c>
    </row>
    <row r="60" spans="1:6" x14ac:dyDescent="0.3">
      <c r="A60">
        <v>51</v>
      </c>
      <c r="B60">
        <f t="shared" si="8"/>
        <v>0</v>
      </c>
      <c r="C60">
        <f t="shared" si="9"/>
        <v>2</v>
      </c>
      <c r="D60">
        <f t="shared" si="2"/>
        <v>0</v>
      </c>
      <c r="E60">
        <f t="shared" si="10"/>
        <v>98</v>
      </c>
      <c r="F60">
        <f t="shared" si="4"/>
        <v>2</v>
      </c>
    </row>
    <row r="61" spans="1:6" x14ac:dyDescent="0.3">
      <c r="A61">
        <v>52</v>
      </c>
      <c r="B61">
        <f t="shared" si="8"/>
        <v>0</v>
      </c>
      <c r="C61">
        <f t="shared" si="9"/>
        <v>2</v>
      </c>
      <c r="D61">
        <f t="shared" si="2"/>
        <v>0</v>
      </c>
      <c r="E61">
        <f t="shared" si="10"/>
        <v>98</v>
      </c>
      <c r="F61">
        <f t="shared" si="4"/>
        <v>2</v>
      </c>
    </row>
    <row r="62" spans="1:6" x14ac:dyDescent="0.3">
      <c r="A62">
        <v>53</v>
      </c>
      <c r="B62">
        <f t="shared" si="8"/>
        <v>0</v>
      </c>
      <c r="C62">
        <f t="shared" si="9"/>
        <v>2</v>
      </c>
      <c r="D62">
        <f t="shared" si="2"/>
        <v>1</v>
      </c>
      <c r="E62">
        <f t="shared" si="10"/>
        <v>99</v>
      </c>
      <c r="F62">
        <f t="shared" si="4"/>
        <v>1</v>
      </c>
    </row>
    <row r="63" spans="1:6" x14ac:dyDescent="0.3">
      <c r="A63">
        <v>54</v>
      </c>
      <c r="B63">
        <f t="shared" si="8"/>
        <v>0</v>
      </c>
      <c r="C63">
        <f t="shared" si="9"/>
        <v>1</v>
      </c>
      <c r="D63">
        <f t="shared" si="2"/>
        <v>0</v>
      </c>
      <c r="E63">
        <f t="shared" si="10"/>
        <v>99</v>
      </c>
      <c r="F63">
        <f t="shared" si="4"/>
        <v>1</v>
      </c>
    </row>
    <row r="64" spans="1:6" x14ac:dyDescent="0.3">
      <c r="A64">
        <v>55</v>
      </c>
      <c r="B64">
        <f t="shared" si="8"/>
        <v>0</v>
      </c>
      <c r="C64">
        <f t="shared" si="9"/>
        <v>1</v>
      </c>
      <c r="D64">
        <f t="shared" si="2"/>
        <v>1</v>
      </c>
      <c r="E64">
        <f t="shared" si="10"/>
        <v>100</v>
      </c>
      <c r="F64">
        <f t="shared" si="4"/>
        <v>0</v>
      </c>
    </row>
    <row r="65" spans="1:6" x14ac:dyDescent="0.3">
      <c r="A65">
        <v>56</v>
      </c>
      <c r="B65">
        <f t="shared" si="8"/>
        <v>0</v>
      </c>
      <c r="C65">
        <f t="shared" si="9"/>
        <v>0</v>
      </c>
      <c r="D65">
        <f t="shared" si="2"/>
        <v>0</v>
      </c>
      <c r="E65">
        <f t="shared" si="10"/>
        <v>100</v>
      </c>
      <c r="F65">
        <f t="shared" si="4"/>
        <v>0</v>
      </c>
    </row>
    <row r="66" spans="1:6" x14ac:dyDescent="0.3">
      <c r="A66">
        <v>57</v>
      </c>
      <c r="B66">
        <f t="shared" si="8"/>
        <v>0</v>
      </c>
      <c r="C66">
        <f t="shared" si="9"/>
        <v>0</v>
      </c>
      <c r="D66">
        <f t="shared" si="2"/>
        <v>0</v>
      </c>
      <c r="E66">
        <f t="shared" si="10"/>
        <v>100</v>
      </c>
      <c r="F66">
        <f t="shared" si="4"/>
        <v>0</v>
      </c>
    </row>
    <row r="67" spans="1:6" x14ac:dyDescent="0.3">
      <c r="A67">
        <v>58</v>
      </c>
      <c r="B67">
        <f t="shared" si="8"/>
        <v>0</v>
      </c>
      <c r="C67">
        <f t="shared" si="9"/>
        <v>0</v>
      </c>
      <c r="D67">
        <f t="shared" si="2"/>
        <v>0</v>
      </c>
      <c r="E67">
        <f t="shared" si="10"/>
        <v>100</v>
      </c>
      <c r="F67">
        <f t="shared" si="4"/>
        <v>0</v>
      </c>
    </row>
    <row r="68" spans="1:6" x14ac:dyDescent="0.3">
      <c r="A68">
        <v>59</v>
      </c>
      <c r="B68">
        <f t="shared" si="8"/>
        <v>0</v>
      </c>
      <c r="C68">
        <f t="shared" si="9"/>
        <v>0</v>
      </c>
      <c r="D68">
        <f t="shared" si="2"/>
        <v>0</v>
      </c>
      <c r="E68">
        <f t="shared" si="10"/>
        <v>100</v>
      </c>
      <c r="F68">
        <f t="shared" si="4"/>
        <v>0</v>
      </c>
    </row>
    <row r="69" spans="1:6" x14ac:dyDescent="0.3">
      <c r="A69">
        <v>60</v>
      </c>
      <c r="B69">
        <f t="shared" si="8"/>
        <v>0</v>
      </c>
      <c r="C69">
        <f t="shared" si="9"/>
        <v>0</v>
      </c>
      <c r="D69">
        <f t="shared" si="2"/>
        <v>0</v>
      </c>
      <c r="E69">
        <f t="shared" si="10"/>
        <v>100</v>
      </c>
      <c r="F69">
        <f t="shared" si="4"/>
        <v>0</v>
      </c>
    </row>
    <row r="70" spans="1:6" x14ac:dyDescent="0.3">
      <c r="A70">
        <v>61</v>
      </c>
      <c r="B70">
        <f t="shared" si="8"/>
        <v>0</v>
      </c>
      <c r="C70">
        <f t="shared" si="9"/>
        <v>0</v>
      </c>
      <c r="D70">
        <f t="shared" si="2"/>
        <v>0</v>
      </c>
      <c r="E70">
        <f t="shared" si="10"/>
        <v>100</v>
      </c>
      <c r="F70">
        <f t="shared" si="4"/>
        <v>0</v>
      </c>
    </row>
    <row r="71" spans="1:6" x14ac:dyDescent="0.3">
      <c r="A71">
        <v>62</v>
      </c>
      <c r="B71">
        <f t="shared" si="8"/>
        <v>0</v>
      </c>
      <c r="C71">
        <f t="shared" si="9"/>
        <v>0</v>
      </c>
      <c r="D71">
        <f t="shared" si="2"/>
        <v>0</v>
      </c>
      <c r="E71">
        <f t="shared" si="10"/>
        <v>100</v>
      </c>
      <c r="F71">
        <f t="shared" si="4"/>
        <v>0</v>
      </c>
    </row>
    <row r="72" spans="1:6" x14ac:dyDescent="0.3">
      <c r="A72">
        <v>63</v>
      </c>
      <c r="B72">
        <f t="shared" si="8"/>
        <v>0</v>
      </c>
      <c r="C72">
        <f t="shared" si="9"/>
        <v>0</v>
      </c>
      <c r="D72">
        <f t="shared" si="2"/>
        <v>0</v>
      </c>
      <c r="E72">
        <f t="shared" si="10"/>
        <v>100</v>
      </c>
      <c r="F72">
        <f t="shared" si="4"/>
        <v>0</v>
      </c>
    </row>
    <row r="73" spans="1:6" x14ac:dyDescent="0.3">
      <c r="A73">
        <v>64</v>
      </c>
      <c r="B73">
        <f t="shared" si="8"/>
        <v>0</v>
      </c>
      <c r="C73">
        <f t="shared" si="9"/>
        <v>0</v>
      </c>
      <c r="D73">
        <f t="shared" si="2"/>
        <v>0</v>
      </c>
      <c r="E73">
        <f t="shared" si="10"/>
        <v>100</v>
      </c>
      <c r="F73">
        <f t="shared" si="4"/>
        <v>0</v>
      </c>
    </row>
    <row r="74" spans="1:6" x14ac:dyDescent="0.3">
      <c r="A74">
        <v>65</v>
      </c>
      <c r="B74">
        <f t="shared" si="8"/>
        <v>0</v>
      </c>
      <c r="C74">
        <f t="shared" si="9"/>
        <v>0</v>
      </c>
      <c r="D74">
        <f t="shared" si="2"/>
        <v>0</v>
      </c>
      <c r="E74">
        <f t="shared" si="10"/>
        <v>100</v>
      </c>
      <c r="F74">
        <f t="shared" si="4"/>
        <v>0</v>
      </c>
    </row>
    <row r="75" spans="1:6" x14ac:dyDescent="0.3">
      <c r="A75">
        <v>66</v>
      </c>
      <c r="B75">
        <f t="shared" si="8"/>
        <v>0</v>
      </c>
      <c r="C75">
        <f t="shared" si="9"/>
        <v>0</v>
      </c>
      <c r="D75">
        <f t="shared" ref="D75:D109" si="11">rdBinomial(C75,$B$5,$E$1)</f>
        <v>0</v>
      </c>
      <c r="E75">
        <f t="shared" si="10"/>
        <v>100</v>
      </c>
      <c r="F75">
        <f t="shared" ref="F75:F109" si="12">100-E75</f>
        <v>0</v>
      </c>
    </row>
    <row r="76" spans="1:6" x14ac:dyDescent="0.3">
      <c r="A76">
        <v>67</v>
      </c>
      <c r="B76">
        <f t="shared" si="8"/>
        <v>0</v>
      </c>
      <c r="C76">
        <f t="shared" si="9"/>
        <v>0</v>
      </c>
      <c r="D76">
        <f t="shared" si="11"/>
        <v>0</v>
      </c>
      <c r="E76">
        <f t="shared" si="10"/>
        <v>100</v>
      </c>
      <c r="F76">
        <f t="shared" si="12"/>
        <v>0</v>
      </c>
    </row>
    <row r="77" spans="1:6" x14ac:dyDescent="0.3">
      <c r="A77">
        <v>68</v>
      </c>
      <c r="B77">
        <f t="shared" si="8"/>
        <v>0</v>
      </c>
      <c r="C77">
        <f t="shared" si="9"/>
        <v>0</v>
      </c>
      <c r="D77">
        <f t="shared" si="11"/>
        <v>0</v>
      </c>
      <c r="E77">
        <f t="shared" si="10"/>
        <v>100</v>
      </c>
      <c r="F77">
        <f t="shared" si="12"/>
        <v>0</v>
      </c>
    </row>
    <row r="78" spans="1:6" x14ac:dyDescent="0.3">
      <c r="A78">
        <v>69</v>
      </c>
      <c r="B78">
        <f t="shared" si="8"/>
        <v>0</v>
      </c>
      <c r="C78">
        <f t="shared" si="9"/>
        <v>0</v>
      </c>
      <c r="D78">
        <f t="shared" si="11"/>
        <v>0</v>
      </c>
      <c r="E78">
        <f t="shared" si="10"/>
        <v>100</v>
      </c>
      <c r="F78">
        <f t="shared" si="12"/>
        <v>0</v>
      </c>
    </row>
    <row r="79" spans="1:6" x14ac:dyDescent="0.3">
      <c r="A79">
        <v>70</v>
      </c>
      <c r="B79">
        <f t="shared" si="8"/>
        <v>0</v>
      </c>
      <c r="C79">
        <f t="shared" si="9"/>
        <v>0</v>
      </c>
      <c r="D79">
        <f t="shared" si="11"/>
        <v>0</v>
      </c>
      <c r="E79">
        <f t="shared" si="10"/>
        <v>100</v>
      </c>
      <c r="F79">
        <f t="shared" si="12"/>
        <v>0</v>
      </c>
    </row>
    <row r="80" spans="1:6" x14ac:dyDescent="0.3">
      <c r="A80">
        <v>71</v>
      </c>
      <c r="B80">
        <f t="shared" si="8"/>
        <v>0</v>
      </c>
      <c r="C80">
        <f t="shared" si="9"/>
        <v>0</v>
      </c>
      <c r="D80">
        <f t="shared" si="11"/>
        <v>0</v>
      </c>
      <c r="E80">
        <f t="shared" si="10"/>
        <v>100</v>
      </c>
      <c r="F80">
        <f t="shared" si="12"/>
        <v>0</v>
      </c>
    </row>
    <row r="81" spans="1:6" x14ac:dyDescent="0.3">
      <c r="A81">
        <v>72</v>
      </c>
      <c r="B81">
        <f t="shared" si="8"/>
        <v>0</v>
      </c>
      <c r="C81">
        <f t="shared" si="9"/>
        <v>0</v>
      </c>
      <c r="D81">
        <f t="shared" si="11"/>
        <v>0</v>
      </c>
      <c r="E81">
        <f t="shared" si="10"/>
        <v>100</v>
      </c>
      <c r="F81">
        <f t="shared" si="12"/>
        <v>0</v>
      </c>
    </row>
    <row r="82" spans="1:6" x14ac:dyDescent="0.3">
      <c r="A82">
        <v>73</v>
      </c>
      <c r="B82">
        <f t="shared" si="8"/>
        <v>0</v>
      </c>
      <c r="C82">
        <f t="shared" si="9"/>
        <v>0</v>
      </c>
      <c r="D82">
        <f t="shared" si="11"/>
        <v>0</v>
      </c>
      <c r="E82">
        <f t="shared" si="10"/>
        <v>100</v>
      </c>
      <c r="F82">
        <f t="shared" si="12"/>
        <v>0</v>
      </c>
    </row>
    <row r="83" spans="1:6" x14ac:dyDescent="0.3">
      <c r="A83">
        <v>74</v>
      </c>
      <c r="B83">
        <f t="shared" si="8"/>
        <v>0</v>
      </c>
      <c r="C83">
        <f t="shared" si="9"/>
        <v>0</v>
      </c>
      <c r="D83">
        <f t="shared" si="11"/>
        <v>0</v>
      </c>
      <c r="E83">
        <f t="shared" si="10"/>
        <v>100</v>
      </c>
      <c r="F83">
        <f t="shared" si="12"/>
        <v>0</v>
      </c>
    </row>
    <row r="84" spans="1:6" x14ac:dyDescent="0.3">
      <c r="A84">
        <v>75</v>
      </c>
      <c r="B84">
        <f t="shared" si="8"/>
        <v>0</v>
      </c>
      <c r="C84">
        <f t="shared" si="9"/>
        <v>0</v>
      </c>
      <c r="D84">
        <f t="shared" si="11"/>
        <v>0</v>
      </c>
      <c r="E84">
        <f t="shared" si="10"/>
        <v>100</v>
      </c>
      <c r="F84">
        <f t="shared" si="12"/>
        <v>0</v>
      </c>
    </row>
    <row r="85" spans="1:6" x14ac:dyDescent="0.3">
      <c r="A85">
        <v>76</v>
      </c>
      <c r="B85">
        <f t="shared" si="8"/>
        <v>0</v>
      </c>
      <c r="C85">
        <f t="shared" si="9"/>
        <v>0</v>
      </c>
      <c r="D85">
        <f t="shared" si="11"/>
        <v>0</v>
      </c>
      <c r="E85">
        <f t="shared" si="10"/>
        <v>100</v>
      </c>
      <c r="F85">
        <f t="shared" si="12"/>
        <v>0</v>
      </c>
    </row>
    <row r="86" spans="1:6" x14ac:dyDescent="0.3">
      <c r="A86">
        <v>77</v>
      </c>
      <c r="B86">
        <f t="shared" si="8"/>
        <v>0</v>
      </c>
      <c r="C86">
        <f t="shared" si="9"/>
        <v>0</v>
      </c>
      <c r="D86">
        <f t="shared" si="11"/>
        <v>0</v>
      </c>
      <c r="E86">
        <f t="shared" si="10"/>
        <v>100</v>
      </c>
      <c r="F86">
        <f t="shared" si="12"/>
        <v>0</v>
      </c>
    </row>
    <row r="87" spans="1:6" x14ac:dyDescent="0.3">
      <c r="A87">
        <v>78</v>
      </c>
      <c r="B87">
        <f t="shared" si="8"/>
        <v>0</v>
      </c>
      <c r="C87">
        <f t="shared" si="9"/>
        <v>0</v>
      </c>
      <c r="D87">
        <f t="shared" si="11"/>
        <v>0</v>
      </c>
      <c r="E87">
        <f t="shared" si="10"/>
        <v>100</v>
      </c>
      <c r="F87">
        <f t="shared" si="12"/>
        <v>0</v>
      </c>
    </row>
    <row r="88" spans="1:6" x14ac:dyDescent="0.3">
      <c r="A88">
        <v>79</v>
      </c>
      <c r="B88">
        <f t="shared" si="8"/>
        <v>0</v>
      </c>
      <c r="C88">
        <f t="shared" si="9"/>
        <v>0</v>
      </c>
      <c r="D88">
        <f t="shared" si="11"/>
        <v>0</v>
      </c>
      <c r="E88">
        <f t="shared" si="10"/>
        <v>100</v>
      </c>
      <c r="F88">
        <f t="shared" si="12"/>
        <v>0</v>
      </c>
    </row>
    <row r="89" spans="1:6" x14ac:dyDescent="0.3">
      <c r="A89">
        <v>80</v>
      </c>
      <c r="B89">
        <f t="shared" si="8"/>
        <v>0</v>
      </c>
      <c r="C89">
        <f t="shared" si="9"/>
        <v>0</v>
      </c>
      <c r="D89">
        <f t="shared" si="11"/>
        <v>0</v>
      </c>
      <c r="E89">
        <f t="shared" si="10"/>
        <v>100</v>
      </c>
      <c r="F89">
        <f t="shared" si="12"/>
        <v>0</v>
      </c>
    </row>
    <row r="90" spans="1:6" x14ac:dyDescent="0.3">
      <c r="A90">
        <v>81</v>
      </c>
      <c r="B90">
        <f t="shared" si="8"/>
        <v>0</v>
      </c>
      <c r="C90">
        <f t="shared" si="9"/>
        <v>0</v>
      </c>
      <c r="D90">
        <f t="shared" si="11"/>
        <v>0</v>
      </c>
      <c r="E90">
        <f t="shared" si="10"/>
        <v>100</v>
      </c>
      <c r="F90">
        <f t="shared" si="12"/>
        <v>0</v>
      </c>
    </row>
    <row r="91" spans="1:6" x14ac:dyDescent="0.3">
      <c r="A91">
        <v>82</v>
      </c>
      <c r="B91">
        <f t="shared" si="8"/>
        <v>0</v>
      </c>
      <c r="C91">
        <f t="shared" si="9"/>
        <v>0</v>
      </c>
      <c r="D91">
        <f t="shared" si="11"/>
        <v>0</v>
      </c>
      <c r="E91">
        <f t="shared" si="10"/>
        <v>100</v>
      </c>
      <c r="F91">
        <f t="shared" si="12"/>
        <v>0</v>
      </c>
    </row>
    <row r="92" spans="1:6" x14ac:dyDescent="0.3">
      <c r="A92">
        <v>83</v>
      </c>
      <c r="B92">
        <f t="shared" si="8"/>
        <v>0</v>
      </c>
      <c r="C92">
        <f t="shared" si="9"/>
        <v>0</v>
      </c>
      <c r="D92">
        <f t="shared" si="11"/>
        <v>0</v>
      </c>
      <c r="E92">
        <f t="shared" si="10"/>
        <v>100</v>
      </c>
      <c r="F92">
        <f t="shared" si="12"/>
        <v>0</v>
      </c>
    </row>
    <row r="93" spans="1:6" x14ac:dyDescent="0.3">
      <c r="A93">
        <v>84</v>
      </c>
      <c r="B93">
        <f t="shared" si="8"/>
        <v>0</v>
      </c>
      <c r="C93">
        <f t="shared" si="9"/>
        <v>0</v>
      </c>
      <c r="D93">
        <f t="shared" si="11"/>
        <v>0</v>
      </c>
      <c r="E93">
        <f t="shared" si="10"/>
        <v>100</v>
      </c>
      <c r="F93">
        <f t="shared" si="12"/>
        <v>0</v>
      </c>
    </row>
    <row r="94" spans="1:6" x14ac:dyDescent="0.3">
      <c r="A94">
        <v>85</v>
      </c>
      <c r="B94">
        <f t="shared" si="8"/>
        <v>0</v>
      </c>
      <c r="C94">
        <f t="shared" si="9"/>
        <v>0</v>
      </c>
      <c r="D94">
        <f t="shared" si="11"/>
        <v>0</v>
      </c>
      <c r="E94">
        <f t="shared" si="10"/>
        <v>100</v>
      </c>
      <c r="F94">
        <f t="shared" si="12"/>
        <v>0</v>
      </c>
    </row>
    <row r="95" spans="1:6" x14ac:dyDescent="0.3">
      <c r="A95">
        <v>86</v>
      </c>
      <c r="B95">
        <f t="shared" si="8"/>
        <v>0</v>
      </c>
      <c r="C95">
        <f t="shared" si="9"/>
        <v>0</v>
      </c>
      <c r="D95">
        <f t="shared" si="11"/>
        <v>0</v>
      </c>
      <c r="E95">
        <f t="shared" si="10"/>
        <v>100</v>
      </c>
      <c r="F95">
        <f t="shared" si="12"/>
        <v>0</v>
      </c>
    </row>
    <row r="96" spans="1:6" x14ac:dyDescent="0.3">
      <c r="A96">
        <v>87</v>
      </c>
      <c r="B96">
        <f t="shared" ref="B96:B109" si="13">rdBinomial(B95,$E$4^C95,$E$1)</f>
        <v>0</v>
      </c>
      <c r="C96">
        <f t="shared" ref="C96:C109" si="14">C95-D95+B95-B96</f>
        <v>0</v>
      </c>
      <c r="D96">
        <f t="shared" si="11"/>
        <v>0</v>
      </c>
      <c r="E96">
        <f t="shared" ref="E96:E109" si="15">D96+E95</f>
        <v>100</v>
      </c>
      <c r="F96">
        <f t="shared" si="12"/>
        <v>0</v>
      </c>
    </row>
    <row r="97" spans="1:6" x14ac:dyDescent="0.3">
      <c r="A97">
        <v>88</v>
      </c>
      <c r="B97">
        <f t="shared" si="13"/>
        <v>0</v>
      </c>
      <c r="C97">
        <f t="shared" si="14"/>
        <v>0</v>
      </c>
      <c r="D97">
        <f t="shared" si="11"/>
        <v>0</v>
      </c>
      <c r="E97">
        <f t="shared" si="15"/>
        <v>100</v>
      </c>
      <c r="F97">
        <f t="shared" si="12"/>
        <v>0</v>
      </c>
    </row>
    <row r="98" spans="1:6" x14ac:dyDescent="0.3">
      <c r="A98">
        <v>89</v>
      </c>
      <c r="B98">
        <f t="shared" si="13"/>
        <v>0</v>
      </c>
      <c r="C98">
        <f t="shared" si="14"/>
        <v>0</v>
      </c>
      <c r="D98">
        <f t="shared" si="11"/>
        <v>0</v>
      </c>
      <c r="E98">
        <f t="shared" si="15"/>
        <v>100</v>
      </c>
      <c r="F98">
        <f t="shared" si="12"/>
        <v>0</v>
      </c>
    </row>
    <row r="99" spans="1:6" x14ac:dyDescent="0.3">
      <c r="A99">
        <v>90</v>
      </c>
      <c r="B99">
        <f t="shared" si="13"/>
        <v>0</v>
      </c>
      <c r="C99">
        <f t="shared" si="14"/>
        <v>0</v>
      </c>
      <c r="D99">
        <f t="shared" si="11"/>
        <v>0</v>
      </c>
      <c r="E99">
        <f t="shared" si="15"/>
        <v>100</v>
      </c>
      <c r="F99">
        <f t="shared" si="12"/>
        <v>0</v>
      </c>
    </row>
    <row r="100" spans="1:6" x14ac:dyDescent="0.3">
      <c r="A100">
        <v>91</v>
      </c>
      <c r="B100">
        <f t="shared" si="13"/>
        <v>0</v>
      </c>
      <c r="C100">
        <f t="shared" si="14"/>
        <v>0</v>
      </c>
      <c r="D100">
        <f t="shared" si="11"/>
        <v>0</v>
      </c>
      <c r="E100">
        <f t="shared" si="15"/>
        <v>100</v>
      </c>
      <c r="F100">
        <f t="shared" si="12"/>
        <v>0</v>
      </c>
    </row>
    <row r="101" spans="1:6" x14ac:dyDescent="0.3">
      <c r="A101">
        <v>92</v>
      </c>
      <c r="B101">
        <f t="shared" si="13"/>
        <v>0</v>
      </c>
      <c r="C101">
        <f t="shared" si="14"/>
        <v>0</v>
      </c>
      <c r="D101">
        <f t="shared" si="11"/>
        <v>0</v>
      </c>
      <c r="E101">
        <f t="shared" si="15"/>
        <v>100</v>
      </c>
      <c r="F101">
        <f t="shared" si="12"/>
        <v>0</v>
      </c>
    </row>
    <row r="102" spans="1:6" x14ac:dyDescent="0.3">
      <c r="A102">
        <v>93</v>
      </c>
      <c r="B102">
        <f t="shared" si="13"/>
        <v>0</v>
      </c>
      <c r="C102">
        <f t="shared" si="14"/>
        <v>0</v>
      </c>
      <c r="D102">
        <f t="shared" si="11"/>
        <v>0</v>
      </c>
      <c r="E102">
        <f t="shared" si="15"/>
        <v>100</v>
      </c>
      <c r="F102">
        <f t="shared" si="12"/>
        <v>0</v>
      </c>
    </row>
    <row r="103" spans="1:6" x14ac:dyDescent="0.3">
      <c r="A103">
        <v>94</v>
      </c>
      <c r="B103">
        <f t="shared" si="13"/>
        <v>0</v>
      </c>
      <c r="C103">
        <f t="shared" si="14"/>
        <v>0</v>
      </c>
      <c r="D103">
        <f t="shared" si="11"/>
        <v>0</v>
      </c>
      <c r="E103">
        <f t="shared" si="15"/>
        <v>100</v>
      </c>
      <c r="F103">
        <f t="shared" si="12"/>
        <v>0</v>
      </c>
    </row>
    <row r="104" spans="1:6" x14ac:dyDescent="0.3">
      <c r="A104">
        <v>95</v>
      </c>
      <c r="B104">
        <f t="shared" si="13"/>
        <v>0</v>
      </c>
      <c r="C104">
        <f t="shared" si="14"/>
        <v>0</v>
      </c>
      <c r="D104">
        <f t="shared" si="11"/>
        <v>0</v>
      </c>
      <c r="E104">
        <f t="shared" si="15"/>
        <v>100</v>
      </c>
      <c r="F104">
        <f t="shared" si="12"/>
        <v>0</v>
      </c>
    </row>
    <row r="105" spans="1:6" x14ac:dyDescent="0.3">
      <c r="A105">
        <v>96</v>
      </c>
      <c r="B105">
        <f t="shared" si="13"/>
        <v>0</v>
      </c>
      <c r="C105">
        <f t="shared" si="14"/>
        <v>0</v>
      </c>
      <c r="D105">
        <f t="shared" si="11"/>
        <v>0</v>
      </c>
      <c r="E105">
        <f t="shared" si="15"/>
        <v>100</v>
      </c>
      <c r="F105">
        <f t="shared" si="12"/>
        <v>0</v>
      </c>
    </row>
    <row r="106" spans="1:6" x14ac:dyDescent="0.3">
      <c r="A106">
        <v>97</v>
      </c>
      <c r="B106">
        <f t="shared" si="13"/>
        <v>0</v>
      </c>
      <c r="C106">
        <f t="shared" si="14"/>
        <v>0</v>
      </c>
      <c r="D106">
        <f t="shared" si="11"/>
        <v>0</v>
      </c>
      <c r="E106">
        <f t="shared" si="15"/>
        <v>100</v>
      </c>
      <c r="F106">
        <f t="shared" si="12"/>
        <v>0</v>
      </c>
    </row>
    <row r="107" spans="1:6" x14ac:dyDescent="0.3">
      <c r="A107">
        <v>98</v>
      </c>
      <c r="B107">
        <f t="shared" si="13"/>
        <v>0</v>
      </c>
      <c r="C107">
        <f t="shared" si="14"/>
        <v>0</v>
      </c>
      <c r="D107">
        <f t="shared" si="11"/>
        <v>0</v>
      </c>
      <c r="E107">
        <f t="shared" si="15"/>
        <v>100</v>
      </c>
      <c r="F107">
        <f t="shared" si="12"/>
        <v>0</v>
      </c>
    </row>
    <row r="108" spans="1:6" x14ac:dyDescent="0.3">
      <c r="A108">
        <v>99</v>
      </c>
      <c r="B108">
        <f t="shared" si="13"/>
        <v>0</v>
      </c>
      <c r="C108">
        <f t="shared" si="14"/>
        <v>0</v>
      </c>
      <c r="D108">
        <f t="shared" si="11"/>
        <v>0</v>
      </c>
      <c r="E108">
        <f t="shared" si="15"/>
        <v>100</v>
      </c>
      <c r="F108">
        <f t="shared" si="12"/>
        <v>0</v>
      </c>
    </row>
    <row r="109" spans="1:6" x14ac:dyDescent="0.3">
      <c r="A109">
        <v>100</v>
      </c>
      <c r="B109">
        <f t="shared" si="13"/>
        <v>0</v>
      </c>
      <c r="C109">
        <f t="shared" si="14"/>
        <v>0</v>
      </c>
      <c r="D109">
        <f t="shared" si="11"/>
        <v>0</v>
      </c>
      <c r="E109">
        <f t="shared" si="15"/>
        <v>100</v>
      </c>
      <c r="F109">
        <f t="shared" si="12"/>
        <v>0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7B1B-6630-4048-8990-549C240F3E85}">
  <sheetPr codeName="Sheet2"/>
  <dimension ref="A1:L60"/>
  <sheetViews>
    <sheetView tabSelected="1" workbookViewId="0">
      <selection activeCell="G25" sqref="G25"/>
    </sheetView>
  </sheetViews>
  <sheetFormatPr defaultRowHeight="16.5" x14ac:dyDescent="0.3"/>
  <cols>
    <col min="1" max="1" width="24.375" bestFit="1" customWidth="1"/>
  </cols>
  <sheetData>
    <row r="1" spans="1:12" x14ac:dyDescent="0.3">
      <c r="A1" t="s">
        <v>21</v>
      </c>
    </row>
    <row r="2" spans="1:12" x14ac:dyDescent="0.3">
      <c r="A2" t="s">
        <v>22</v>
      </c>
    </row>
    <row r="3" spans="1:12" x14ac:dyDescent="0.3">
      <c r="B3" t="s">
        <v>23</v>
      </c>
      <c r="C3" t="s">
        <v>24</v>
      </c>
    </row>
    <row r="4" spans="1:12" x14ac:dyDescent="0.3">
      <c r="A4" t="s">
        <v>23</v>
      </c>
      <c r="B4">
        <v>0.9</v>
      </c>
      <c r="C4">
        <v>0.1</v>
      </c>
    </row>
    <row r="5" spans="1:12" x14ac:dyDescent="0.3">
      <c r="A5" t="s">
        <v>24</v>
      </c>
      <c r="B5">
        <v>0.2</v>
      </c>
      <c r="C5">
        <v>0.8</v>
      </c>
    </row>
    <row r="7" spans="1:12" x14ac:dyDescent="0.3">
      <c r="A7" t="s">
        <v>4</v>
      </c>
      <c r="B7" t="s">
        <v>23</v>
      </c>
      <c r="C7" t="s">
        <v>24</v>
      </c>
    </row>
    <row r="8" spans="1:12" x14ac:dyDescent="0.3">
      <c r="A8">
        <v>0</v>
      </c>
      <c r="B8">
        <v>50</v>
      </c>
      <c r="C8">
        <v>50</v>
      </c>
    </row>
    <row r="9" spans="1:12" x14ac:dyDescent="0.3">
      <c r="A9">
        <v>1</v>
      </c>
      <c r="B9">
        <f ca="1">rdBinomial(B8,$B$4,1)+rdBinomial(C8,$B$5,1)</f>
        <v>53</v>
      </c>
      <c r="C9">
        <f ca="1">100-B9</f>
        <v>47</v>
      </c>
    </row>
    <row r="10" spans="1:12" x14ac:dyDescent="0.3">
      <c r="A10">
        <v>2</v>
      </c>
      <c r="B10">
        <f ca="1">rdBinomial(B9,$B$4,1)+rdBinomial(C9,$B$5,1)</f>
        <v>56</v>
      </c>
      <c r="C10">
        <f ca="1">100-B10</f>
        <v>44</v>
      </c>
    </row>
    <row r="11" spans="1:12" x14ac:dyDescent="0.3">
      <c r="A11">
        <v>3</v>
      </c>
      <c r="B11">
        <f ca="1">rdBinomial(B10,$B$4,1)+rdBinomial(C10,$B$5,1)</f>
        <v>64</v>
      </c>
      <c r="C11">
        <f t="shared" ref="C11:C60" ca="1" si="0">100-B11</f>
        <v>36</v>
      </c>
      <c r="F11" t="s">
        <v>23</v>
      </c>
      <c r="G11">
        <f ca="1">B60</f>
        <v>68</v>
      </c>
    </row>
    <row r="12" spans="1:12" x14ac:dyDescent="0.3">
      <c r="A12">
        <v>4</v>
      </c>
      <c r="B12">
        <f ca="1">rdBinomial(B11,$B$4,1)+rdBinomial(C11,$B$5,1)</f>
        <v>60</v>
      </c>
      <c r="C12">
        <f t="shared" ca="1" si="0"/>
        <v>40</v>
      </c>
      <c r="F12" t="s">
        <v>25</v>
      </c>
      <c r="G12">
        <f ca="1">SUM(B9:B60)</f>
        <v>3381</v>
      </c>
    </row>
    <row r="13" spans="1:12" x14ac:dyDescent="0.3">
      <c r="A13">
        <v>5</v>
      </c>
      <c r="B13">
        <f ca="1">rdBinomial(B12,$B$4,1)+rdBinomial(C12,$B$5,1)</f>
        <v>61</v>
      </c>
      <c r="C13">
        <f t="shared" ca="1" si="0"/>
        <v>39</v>
      </c>
      <c r="G13" t="s">
        <v>26</v>
      </c>
      <c r="H13" t="s">
        <v>25</v>
      </c>
      <c r="K13" t="s">
        <v>27</v>
      </c>
      <c r="L13" t="s">
        <v>25</v>
      </c>
    </row>
    <row r="14" spans="1:12" x14ac:dyDescent="0.3">
      <c r="A14">
        <v>6</v>
      </c>
      <c r="B14">
        <f ca="1">rdBinomial(B13,$B$4,1)+rdBinomial(C13,$B$5,1)</f>
        <v>65</v>
      </c>
      <c r="C14">
        <f t="shared" ca="1" si="0"/>
        <v>35</v>
      </c>
      <c r="F14" t="s">
        <v>15</v>
      </c>
      <c r="G14">
        <v>66.781999999999996</v>
      </c>
      <c r="H14">
        <v>3434.7060000000001</v>
      </c>
      <c r="J14" t="s">
        <v>15</v>
      </c>
    </row>
    <row r="15" spans="1:12" x14ac:dyDescent="0.3">
      <c r="A15">
        <v>7</v>
      </c>
      <c r="B15">
        <f ca="1">rdBinomial(B14,$B$4,1)+rdBinomial(C14,$B$5,1)</f>
        <v>64</v>
      </c>
      <c r="C15">
        <f t="shared" ca="1" si="0"/>
        <v>36</v>
      </c>
      <c r="F15" t="s">
        <v>16</v>
      </c>
      <c r="G15">
        <v>4.5877580062077747</v>
      </c>
      <c r="H15">
        <v>93.611498634925624</v>
      </c>
      <c r="J15" t="s">
        <v>16</v>
      </c>
    </row>
    <row r="16" spans="1:12" x14ac:dyDescent="0.3">
      <c r="A16">
        <v>8</v>
      </c>
      <c r="B16">
        <f ca="1">rdBinomial(B15,$B$4,1)+rdBinomial(C15,$B$5,1)</f>
        <v>68</v>
      </c>
      <c r="C16">
        <f t="shared" ca="1" si="0"/>
        <v>32</v>
      </c>
      <c r="F16" t="s">
        <v>17</v>
      </c>
      <c r="G16">
        <v>59</v>
      </c>
      <c r="H16">
        <v>3274.95</v>
      </c>
      <c r="J16" t="s">
        <v>17</v>
      </c>
    </row>
    <row r="17" spans="1:10" x14ac:dyDescent="0.3">
      <c r="A17">
        <v>9</v>
      </c>
      <c r="B17">
        <f ca="1">rdBinomial(B16,$B$4,1)+rdBinomial(C16,$B$5,1)</f>
        <v>64</v>
      </c>
      <c r="C17">
        <f t="shared" ca="1" si="0"/>
        <v>36</v>
      </c>
      <c r="F17" t="s">
        <v>18</v>
      </c>
      <c r="G17">
        <v>75</v>
      </c>
      <c r="H17">
        <v>3581.05</v>
      </c>
      <c r="J17" t="s">
        <v>18</v>
      </c>
    </row>
    <row r="18" spans="1:10" x14ac:dyDescent="0.3">
      <c r="A18">
        <v>10</v>
      </c>
      <c r="B18">
        <f ca="1">rdBinomial(B17,$B$4,1)+rdBinomial(C17,$B$5,1)</f>
        <v>61</v>
      </c>
      <c r="C18">
        <f t="shared" ca="1" si="0"/>
        <v>39</v>
      </c>
    </row>
    <row r="19" spans="1:10" x14ac:dyDescent="0.3">
      <c r="A19">
        <v>11</v>
      </c>
      <c r="B19">
        <f ca="1">rdBinomial(B18,$B$4,1)+rdBinomial(C18,$B$5,1)</f>
        <v>64</v>
      </c>
      <c r="C19">
        <f t="shared" ca="1" si="0"/>
        <v>36</v>
      </c>
    </row>
    <row r="20" spans="1:10" x14ac:dyDescent="0.3">
      <c r="A20">
        <v>12</v>
      </c>
      <c r="B20">
        <f ca="1">rdBinomial(B19,$B$4,1)+rdBinomial(C19,$B$5,1)</f>
        <v>62</v>
      </c>
      <c r="C20">
        <f t="shared" ca="1" si="0"/>
        <v>38</v>
      </c>
      <c r="F20" t="s">
        <v>28</v>
      </c>
      <c r="G20">
        <f>H14</f>
        <v>3434.7060000000001</v>
      </c>
    </row>
    <row r="21" spans="1:10" x14ac:dyDescent="0.3">
      <c r="A21">
        <v>13</v>
      </c>
      <c r="B21">
        <f ca="1">rdBinomial(B20,$B$4,1)+rdBinomial(C20,$B$5,1)</f>
        <v>66</v>
      </c>
      <c r="C21">
        <f t="shared" ca="1" si="0"/>
        <v>34</v>
      </c>
      <c r="F21" t="s">
        <v>29</v>
      </c>
      <c r="G21">
        <f>L14</f>
        <v>0</v>
      </c>
    </row>
    <row r="22" spans="1:10" x14ac:dyDescent="0.3">
      <c r="A22">
        <v>14</v>
      </c>
      <c r="B22">
        <f ca="1">rdBinomial(B21,$B$4,1)+rdBinomial(C21,$B$5,1)</f>
        <v>68</v>
      </c>
      <c r="C22">
        <f t="shared" ca="1" si="0"/>
        <v>32</v>
      </c>
      <c r="F22" t="s">
        <v>30</v>
      </c>
      <c r="G22">
        <f>G20-G21</f>
        <v>3434.7060000000001</v>
      </c>
    </row>
    <row r="23" spans="1:10" x14ac:dyDescent="0.3">
      <c r="A23">
        <v>15</v>
      </c>
      <c r="B23">
        <f ca="1">rdBinomial(B22,$B$4,1)+rdBinomial(C22,$B$5,1)</f>
        <v>74</v>
      </c>
      <c r="C23">
        <f t="shared" ca="1" si="0"/>
        <v>26</v>
      </c>
      <c r="F23" t="s">
        <v>31</v>
      </c>
      <c r="G23">
        <v>500</v>
      </c>
    </row>
    <row r="24" spans="1:10" x14ac:dyDescent="0.3">
      <c r="A24">
        <v>16</v>
      </c>
      <c r="B24">
        <f ca="1">rdBinomial(B23,$B$4,1)+rdBinomial(C23,$B$5,1)</f>
        <v>72</v>
      </c>
      <c r="C24">
        <f t="shared" ca="1" si="0"/>
        <v>28</v>
      </c>
      <c r="F24" t="s">
        <v>32</v>
      </c>
      <c r="G24">
        <f>G22-G23</f>
        <v>2934.7060000000001</v>
      </c>
    </row>
    <row r="25" spans="1:10" x14ac:dyDescent="0.3">
      <c r="A25">
        <v>17</v>
      </c>
      <c r="B25">
        <f ca="1">rdBinomial(B24,$B$4,1)+rdBinomial(C24,$B$5,1)</f>
        <v>68</v>
      </c>
      <c r="C25">
        <f t="shared" ca="1" si="0"/>
        <v>32</v>
      </c>
      <c r="F25" t="s">
        <v>33</v>
      </c>
      <c r="G25">
        <f>G24/SQRT(H15^2/1000+L15/1000)</f>
        <v>991.36915424828862</v>
      </c>
    </row>
    <row r="26" spans="1:10" x14ac:dyDescent="0.3">
      <c r="A26">
        <v>18</v>
      </c>
      <c r="B26">
        <f ca="1">rdBinomial(B25,$B$4,1)+rdBinomial(C25,$B$5,1)</f>
        <v>71</v>
      </c>
      <c r="C26">
        <f t="shared" ca="1" si="0"/>
        <v>29</v>
      </c>
    </row>
    <row r="27" spans="1:10" x14ac:dyDescent="0.3">
      <c r="A27">
        <v>19</v>
      </c>
      <c r="B27">
        <f ca="1">rdBinomial(B26,$B$4,1)+rdBinomial(C26,$B$5,1)</f>
        <v>68</v>
      </c>
      <c r="C27">
        <f t="shared" ca="1" si="0"/>
        <v>32</v>
      </c>
    </row>
    <row r="28" spans="1:10" x14ac:dyDescent="0.3">
      <c r="A28">
        <v>20</v>
      </c>
      <c r="B28">
        <f ca="1">rdBinomial(B27,$B$4,1)+rdBinomial(C27,$B$5,1)</f>
        <v>71</v>
      </c>
      <c r="C28">
        <f t="shared" ca="1" si="0"/>
        <v>29</v>
      </c>
    </row>
    <row r="29" spans="1:10" x14ac:dyDescent="0.3">
      <c r="A29">
        <v>21</v>
      </c>
      <c r="B29">
        <f ca="1">rdBinomial(B28,$B$4,1)+rdBinomial(C28,$B$5,1)</f>
        <v>67</v>
      </c>
      <c r="C29">
        <f t="shared" ca="1" si="0"/>
        <v>33</v>
      </c>
    </row>
    <row r="30" spans="1:10" x14ac:dyDescent="0.3">
      <c r="A30">
        <v>22</v>
      </c>
      <c r="B30">
        <f ca="1">rdBinomial(B29,$B$4,1)+rdBinomial(C29,$B$5,1)</f>
        <v>64</v>
      </c>
      <c r="C30">
        <f t="shared" ca="1" si="0"/>
        <v>36</v>
      </c>
    </row>
    <row r="31" spans="1:10" x14ac:dyDescent="0.3">
      <c r="A31">
        <v>23</v>
      </c>
      <c r="B31">
        <f ca="1">rdBinomial(B30,$B$4,1)+rdBinomial(C30,$B$5,1)</f>
        <v>65</v>
      </c>
      <c r="C31">
        <f t="shared" ca="1" si="0"/>
        <v>35</v>
      </c>
    </row>
    <row r="32" spans="1:10" x14ac:dyDescent="0.3">
      <c r="A32">
        <v>24</v>
      </c>
      <c r="B32">
        <f ca="1">rdBinomial(B31,$B$4,1)+rdBinomial(C31,$B$5,1)</f>
        <v>63</v>
      </c>
      <c r="C32">
        <f t="shared" ca="1" si="0"/>
        <v>37</v>
      </c>
    </row>
    <row r="33" spans="1:3" x14ac:dyDescent="0.3">
      <c r="A33">
        <v>25</v>
      </c>
      <c r="B33">
        <f ca="1">rdBinomial(B32,$B$4,1)+rdBinomial(C32,$B$5,1)</f>
        <v>67</v>
      </c>
      <c r="C33">
        <f t="shared" ca="1" si="0"/>
        <v>33</v>
      </c>
    </row>
    <row r="34" spans="1:3" x14ac:dyDescent="0.3">
      <c r="A34">
        <v>26</v>
      </c>
      <c r="B34">
        <f ca="1">rdBinomial(B33,$B$4,1)+rdBinomial(C33,$B$5,1)</f>
        <v>64</v>
      </c>
      <c r="C34">
        <f t="shared" ca="1" si="0"/>
        <v>36</v>
      </c>
    </row>
    <row r="35" spans="1:3" x14ac:dyDescent="0.3">
      <c r="A35">
        <v>27</v>
      </c>
      <c r="B35">
        <f ca="1">rdBinomial(B34,$B$4,1)+rdBinomial(C34,$B$5,1)</f>
        <v>70</v>
      </c>
      <c r="C35">
        <f t="shared" ca="1" si="0"/>
        <v>30</v>
      </c>
    </row>
    <row r="36" spans="1:3" x14ac:dyDescent="0.3">
      <c r="A36">
        <v>28</v>
      </c>
      <c r="B36">
        <f ca="1">rdBinomial(B35,$B$4,1)+rdBinomial(C35,$B$5,1)</f>
        <v>70</v>
      </c>
      <c r="C36">
        <f t="shared" ca="1" si="0"/>
        <v>30</v>
      </c>
    </row>
    <row r="37" spans="1:3" x14ac:dyDescent="0.3">
      <c r="A37">
        <v>29</v>
      </c>
      <c r="B37">
        <f ca="1">rdBinomial(B36,$B$4,1)+rdBinomial(C36,$B$5,1)</f>
        <v>71</v>
      </c>
      <c r="C37">
        <f t="shared" ca="1" si="0"/>
        <v>29</v>
      </c>
    </row>
    <row r="38" spans="1:3" x14ac:dyDescent="0.3">
      <c r="A38">
        <v>30</v>
      </c>
      <c r="B38">
        <f ca="1">rdBinomial(B37,$B$4,1)+rdBinomial(C37,$B$5,1)</f>
        <v>67</v>
      </c>
      <c r="C38">
        <f t="shared" ca="1" si="0"/>
        <v>33</v>
      </c>
    </row>
    <row r="39" spans="1:3" x14ac:dyDescent="0.3">
      <c r="A39">
        <v>31</v>
      </c>
      <c r="B39">
        <f ca="1">rdBinomial(B38,$B$4,1)+rdBinomial(C38,$B$5,1)</f>
        <v>64</v>
      </c>
      <c r="C39">
        <f t="shared" ca="1" si="0"/>
        <v>36</v>
      </c>
    </row>
    <row r="40" spans="1:3" x14ac:dyDescent="0.3">
      <c r="A40">
        <v>32</v>
      </c>
      <c r="B40">
        <f ca="1">rdBinomial(B39,$B$4,1)+rdBinomial(C39,$B$5,1)</f>
        <v>67</v>
      </c>
      <c r="C40">
        <f t="shared" ca="1" si="0"/>
        <v>33</v>
      </c>
    </row>
    <row r="41" spans="1:3" x14ac:dyDescent="0.3">
      <c r="A41">
        <v>33</v>
      </c>
      <c r="B41">
        <f ca="1">rdBinomial(B40,$B$4,1)+rdBinomial(C40,$B$5,1)</f>
        <v>69</v>
      </c>
      <c r="C41">
        <f t="shared" ca="1" si="0"/>
        <v>31</v>
      </c>
    </row>
    <row r="42" spans="1:3" x14ac:dyDescent="0.3">
      <c r="A42">
        <v>34</v>
      </c>
      <c r="B42">
        <f ca="1">rdBinomial(B41,$B$4,1)+rdBinomial(C41,$B$5,1)</f>
        <v>65</v>
      </c>
      <c r="C42">
        <f t="shared" ca="1" si="0"/>
        <v>35</v>
      </c>
    </row>
    <row r="43" spans="1:3" x14ac:dyDescent="0.3">
      <c r="A43">
        <v>35</v>
      </c>
      <c r="B43">
        <f ca="1">rdBinomial(B42,$B$4,1)+rdBinomial(C42,$B$5,1)</f>
        <v>67</v>
      </c>
      <c r="C43">
        <f t="shared" ca="1" si="0"/>
        <v>33</v>
      </c>
    </row>
    <row r="44" spans="1:3" x14ac:dyDescent="0.3">
      <c r="A44">
        <v>36</v>
      </c>
      <c r="B44">
        <f ca="1">rdBinomial(B43,$B$4,1)+rdBinomial(C43,$B$5,1)</f>
        <v>62</v>
      </c>
      <c r="C44">
        <f t="shared" ca="1" si="0"/>
        <v>38</v>
      </c>
    </row>
    <row r="45" spans="1:3" x14ac:dyDescent="0.3">
      <c r="A45">
        <v>37</v>
      </c>
      <c r="B45">
        <f ca="1">rdBinomial(B44,$B$4,1)+rdBinomial(C44,$B$5,1)</f>
        <v>65</v>
      </c>
      <c r="C45">
        <f t="shared" ca="1" si="0"/>
        <v>35</v>
      </c>
    </row>
    <row r="46" spans="1:3" x14ac:dyDescent="0.3">
      <c r="A46">
        <v>38</v>
      </c>
      <c r="B46">
        <f ca="1">rdBinomial(B45,$B$4,1)+rdBinomial(C45,$B$5,1)</f>
        <v>62</v>
      </c>
      <c r="C46">
        <f t="shared" ca="1" si="0"/>
        <v>38</v>
      </c>
    </row>
    <row r="47" spans="1:3" x14ac:dyDescent="0.3">
      <c r="A47">
        <v>39</v>
      </c>
      <c r="B47">
        <f ca="1">rdBinomial(B46,$B$4,1)+rdBinomial(C46,$B$5,1)</f>
        <v>63</v>
      </c>
      <c r="C47">
        <f t="shared" ca="1" si="0"/>
        <v>37</v>
      </c>
    </row>
    <row r="48" spans="1:3" x14ac:dyDescent="0.3">
      <c r="A48">
        <v>40</v>
      </c>
      <c r="B48">
        <f ca="1">rdBinomial(B47,$B$4,1)+rdBinomial(C47,$B$5,1)</f>
        <v>61</v>
      </c>
      <c r="C48">
        <f t="shared" ca="1" si="0"/>
        <v>39</v>
      </c>
    </row>
    <row r="49" spans="1:3" x14ac:dyDescent="0.3">
      <c r="A49">
        <v>41</v>
      </c>
      <c r="B49">
        <f ca="1">rdBinomial(B48,$B$4,1)+rdBinomial(C48,$B$5,1)</f>
        <v>63</v>
      </c>
      <c r="C49">
        <f t="shared" ca="1" si="0"/>
        <v>37</v>
      </c>
    </row>
    <row r="50" spans="1:3" x14ac:dyDescent="0.3">
      <c r="A50">
        <v>42</v>
      </c>
      <c r="B50">
        <f ca="1">rdBinomial(B49,$B$4,1)+rdBinomial(C49,$B$5,1)</f>
        <v>60</v>
      </c>
      <c r="C50">
        <f t="shared" ca="1" si="0"/>
        <v>40</v>
      </c>
    </row>
    <row r="51" spans="1:3" x14ac:dyDescent="0.3">
      <c r="A51">
        <v>43</v>
      </c>
      <c r="B51">
        <f ca="1">rdBinomial(B50,$B$4,1)+rdBinomial(C50,$B$5,1)</f>
        <v>64</v>
      </c>
      <c r="C51">
        <f t="shared" ca="1" si="0"/>
        <v>36</v>
      </c>
    </row>
    <row r="52" spans="1:3" x14ac:dyDescent="0.3">
      <c r="A52">
        <v>44</v>
      </c>
      <c r="B52">
        <f ca="1">rdBinomial(B51,$B$4,1)+rdBinomial(C51,$B$5,1)</f>
        <v>61</v>
      </c>
      <c r="C52">
        <f t="shared" ca="1" si="0"/>
        <v>39</v>
      </c>
    </row>
    <row r="53" spans="1:3" x14ac:dyDescent="0.3">
      <c r="A53">
        <v>45</v>
      </c>
      <c r="B53">
        <f ca="1">rdBinomial(B52,$B$4,1)+rdBinomial(C52,$B$5,1)</f>
        <v>64</v>
      </c>
      <c r="C53">
        <f t="shared" ca="1" si="0"/>
        <v>36</v>
      </c>
    </row>
    <row r="54" spans="1:3" x14ac:dyDescent="0.3">
      <c r="A54">
        <v>46</v>
      </c>
      <c r="B54">
        <f ca="1">rdBinomial(B53,$B$4,1)+rdBinomial(C53,$B$5,1)</f>
        <v>62</v>
      </c>
      <c r="C54">
        <f t="shared" ca="1" si="0"/>
        <v>38</v>
      </c>
    </row>
    <row r="55" spans="1:3" x14ac:dyDescent="0.3">
      <c r="A55">
        <v>47</v>
      </c>
      <c r="B55">
        <f ca="1">rdBinomial(B54,$B$4,1)+rdBinomial(C54,$B$5,1)</f>
        <v>64</v>
      </c>
      <c r="C55">
        <f t="shared" ca="1" si="0"/>
        <v>36</v>
      </c>
    </row>
    <row r="56" spans="1:3" x14ac:dyDescent="0.3">
      <c r="A56">
        <v>48</v>
      </c>
      <c r="B56">
        <f ca="1">rdBinomial(B55,$B$4,1)+rdBinomial(C55,$B$5,1)</f>
        <v>65</v>
      </c>
      <c r="C56">
        <f t="shared" ca="1" si="0"/>
        <v>35</v>
      </c>
    </row>
    <row r="57" spans="1:3" x14ac:dyDescent="0.3">
      <c r="A57">
        <v>49</v>
      </c>
      <c r="B57">
        <f ca="1">rdBinomial(B56,$B$4,1)+rdBinomial(C56,$B$5,1)</f>
        <v>66</v>
      </c>
      <c r="C57">
        <f t="shared" ca="1" si="0"/>
        <v>34</v>
      </c>
    </row>
    <row r="58" spans="1:3" x14ac:dyDescent="0.3">
      <c r="A58">
        <v>50</v>
      </c>
      <c r="B58">
        <f ca="1">rdBinomial(B57,$B$4,1)+rdBinomial(C57,$B$5,1)</f>
        <v>64</v>
      </c>
      <c r="C58">
        <f t="shared" ca="1" si="0"/>
        <v>36</v>
      </c>
    </row>
    <row r="59" spans="1:3" x14ac:dyDescent="0.3">
      <c r="A59">
        <v>51</v>
      </c>
      <c r="B59">
        <f ca="1">rdBinomial(B58,$B$4,1)+rdBinomial(C58,$B$5,1)</f>
        <v>67</v>
      </c>
      <c r="C59">
        <f t="shared" ca="1" si="0"/>
        <v>33</v>
      </c>
    </row>
    <row r="60" spans="1:3" x14ac:dyDescent="0.3">
      <c r="A60">
        <v>52</v>
      </c>
      <c r="B60">
        <f ca="1">rdBinomial(B59,$B$4,1)+rdBinomial(C59,$B$5,1)</f>
        <v>68</v>
      </c>
      <c r="C60">
        <f t="shared" ca="1" si="0"/>
        <v>32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SSU</dc:creator>
  <cp:lastModifiedBy>SSU</cp:lastModifiedBy>
  <dcterms:created xsi:type="dcterms:W3CDTF">2023-04-20T01:34:22Z</dcterms:created>
  <dcterms:modified xsi:type="dcterms:W3CDTF">2023-04-20T02:36:29Z</dcterms:modified>
</cp:coreProperties>
</file>
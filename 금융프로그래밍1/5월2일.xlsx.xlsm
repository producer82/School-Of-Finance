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U\Downloads\"/>
    </mc:Choice>
  </mc:AlternateContent>
  <xr:revisionPtr revIDLastSave="0" documentId="8_{EC7892C6-B488-4E85-965E-91CC671B4292}" xr6:coauthVersionLast="36" xr6:coauthVersionMax="36" xr10:uidLastSave="{00000000-0000-0000-0000-000000000000}"/>
  <bookViews>
    <workbookView xWindow="0" yWindow="0" windowWidth="24630" windowHeight="10005" activeTab="1" xr2:uid="{2C874AA5-71A8-4106-A943-678EC6578487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8" i="2"/>
  <c r="C8" i="2" s="1"/>
  <c r="B3" i="2"/>
  <c r="D7" i="1"/>
  <c r="B7" i="1" s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C9" i="2" l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D8" i="2"/>
  <c r="C7" i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E8" i="2" l="1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E9" i="2" l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</calcChain>
</file>

<file path=xl/sharedStrings.xml><?xml version="1.0" encoding="utf-8"?>
<sst xmlns="http://schemas.openxmlformats.org/spreadsheetml/2006/main" count="21" uniqueCount="16">
  <si>
    <t>mu</t>
    <phoneticPr fontId="1" type="noConversion"/>
  </si>
  <si>
    <t>sigma</t>
    <phoneticPr fontId="1" type="noConversion"/>
  </si>
  <si>
    <t>delta t</t>
    <phoneticPr fontId="1" type="noConversion"/>
  </si>
  <si>
    <t>기대수익률</t>
    <phoneticPr fontId="1" type="noConversion"/>
  </si>
  <si>
    <t>변동성</t>
    <phoneticPr fontId="1" type="noConversion"/>
  </si>
  <si>
    <t>시간</t>
    <phoneticPr fontId="1" type="noConversion"/>
  </si>
  <si>
    <t>가격</t>
    <phoneticPr fontId="1" type="noConversion"/>
  </si>
  <si>
    <t>trading day</t>
    <phoneticPr fontId="1" type="noConversion"/>
  </si>
  <si>
    <t>calender day</t>
    <phoneticPr fontId="1" type="noConversion"/>
  </si>
  <si>
    <t>채권 가격 결정일</t>
    <phoneticPr fontId="1" type="noConversion"/>
  </si>
  <si>
    <t>충격</t>
    <phoneticPr fontId="1" type="noConversion"/>
  </si>
  <si>
    <t>rho</t>
    <phoneticPr fontId="1" type="noConversion"/>
  </si>
  <si>
    <t>GBM</t>
    <phoneticPr fontId="1" type="noConversion"/>
  </si>
  <si>
    <t>자기상관</t>
    <phoneticPr fontId="1" type="noConversion"/>
  </si>
  <si>
    <t>수익률</t>
    <phoneticPr fontId="1" type="noConversion"/>
  </si>
  <si>
    <t>Common Random Number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</si>
</sst>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Sheet1!$B$6:$B$106</c:f>
              <c:numCache>
                <c:formatCode>General</c:formatCode>
                <c:ptCount val="101"/>
                <c:pt idx="0">
                  <c:v>100</c:v>
                </c:pt>
                <c:pt idx="1">
                  <c:v>100.13431756642164</c:v>
                </c:pt>
                <c:pt idx="2">
                  <c:v>100.40191570819387</c:v>
                </c:pt>
                <c:pt idx="3">
                  <c:v>99.075800891804647</c:v>
                </c:pt>
                <c:pt idx="4">
                  <c:v>100.41345068712003</c:v>
                </c:pt>
                <c:pt idx="5">
                  <c:v>102.42619196110054</c:v>
                </c:pt>
                <c:pt idx="6">
                  <c:v>102.68314809701099</c:v>
                </c:pt>
                <c:pt idx="7">
                  <c:v>102.11829456885802</c:v>
                </c:pt>
                <c:pt idx="8">
                  <c:v>102.86691346534867</c:v>
                </c:pt>
                <c:pt idx="9">
                  <c:v>103.87397486440622</c:v>
                </c:pt>
                <c:pt idx="10">
                  <c:v>103.1534609163125</c:v>
                </c:pt>
                <c:pt idx="11">
                  <c:v>102.7973044422168</c:v>
                </c:pt>
                <c:pt idx="12">
                  <c:v>101.55599818255382</c:v>
                </c:pt>
                <c:pt idx="13">
                  <c:v>101.74323599081978</c:v>
                </c:pt>
                <c:pt idx="14">
                  <c:v>102.54370469234071</c:v>
                </c:pt>
                <c:pt idx="15">
                  <c:v>101.8407100295248</c:v>
                </c:pt>
                <c:pt idx="16">
                  <c:v>101.49894036320751</c:v>
                </c:pt>
                <c:pt idx="17">
                  <c:v>101.94779500849857</c:v>
                </c:pt>
                <c:pt idx="18">
                  <c:v>103.11072522345331</c:v>
                </c:pt>
                <c:pt idx="19">
                  <c:v>102.80110447490163</c:v>
                </c:pt>
                <c:pt idx="20">
                  <c:v>104.01354838102168</c:v>
                </c:pt>
                <c:pt idx="21">
                  <c:v>107.21495336060487</c:v>
                </c:pt>
                <c:pt idx="22">
                  <c:v>105.97764324126219</c:v>
                </c:pt>
                <c:pt idx="23">
                  <c:v>104.45268611058991</c:v>
                </c:pt>
                <c:pt idx="24">
                  <c:v>103.95978793986161</c:v>
                </c:pt>
                <c:pt idx="25">
                  <c:v>104.63095582217647</c:v>
                </c:pt>
                <c:pt idx="26">
                  <c:v>105.39429268999395</c:v>
                </c:pt>
                <c:pt idx="27">
                  <c:v>105.62178932395491</c:v>
                </c:pt>
                <c:pt idx="28">
                  <c:v>108.07573514579553</c:v>
                </c:pt>
                <c:pt idx="29">
                  <c:v>108.3878408159909</c:v>
                </c:pt>
                <c:pt idx="30">
                  <c:v>107.89800673970375</c:v>
                </c:pt>
                <c:pt idx="31">
                  <c:v>107.08838488974831</c:v>
                </c:pt>
                <c:pt idx="32">
                  <c:v>106.86761879453483</c:v>
                </c:pt>
                <c:pt idx="33">
                  <c:v>107.14317380013722</c:v>
                </c:pt>
                <c:pt idx="34">
                  <c:v>106.60574057283065</c:v>
                </c:pt>
                <c:pt idx="35">
                  <c:v>106.69761573091006</c:v>
                </c:pt>
                <c:pt idx="36">
                  <c:v>107.08092139602121</c:v>
                </c:pt>
                <c:pt idx="37">
                  <c:v>106.63433164794404</c:v>
                </c:pt>
                <c:pt idx="38">
                  <c:v>108.50777355708725</c:v>
                </c:pt>
                <c:pt idx="39">
                  <c:v>107.99989874622928</c:v>
                </c:pt>
                <c:pt idx="40">
                  <c:v>108.29622319888043</c:v>
                </c:pt>
                <c:pt idx="41">
                  <c:v>108.53537339117815</c:v>
                </c:pt>
                <c:pt idx="42">
                  <c:v>109.81941988540255</c:v>
                </c:pt>
                <c:pt idx="43">
                  <c:v>108.4177782462953</c:v>
                </c:pt>
                <c:pt idx="44">
                  <c:v>107.78279407172167</c:v>
                </c:pt>
                <c:pt idx="45">
                  <c:v>107.35381915488449</c:v>
                </c:pt>
                <c:pt idx="46">
                  <c:v>109.54740822171163</c:v>
                </c:pt>
                <c:pt idx="47">
                  <c:v>107.8437695593139</c:v>
                </c:pt>
                <c:pt idx="48">
                  <c:v>105.49254900231041</c:v>
                </c:pt>
                <c:pt idx="49">
                  <c:v>106.06096207774257</c:v>
                </c:pt>
                <c:pt idx="50">
                  <c:v>105.92313968298336</c:v>
                </c:pt>
                <c:pt idx="51">
                  <c:v>104.93314541556813</c:v>
                </c:pt>
                <c:pt idx="52">
                  <c:v>103.81684300566316</c:v>
                </c:pt>
                <c:pt idx="53">
                  <c:v>101.67741333629947</c:v>
                </c:pt>
                <c:pt idx="54">
                  <c:v>102.8250911390015</c:v>
                </c:pt>
                <c:pt idx="55">
                  <c:v>101.80318972544889</c:v>
                </c:pt>
                <c:pt idx="56">
                  <c:v>102.30170373791063</c:v>
                </c:pt>
                <c:pt idx="57">
                  <c:v>100.71296294466845</c:v>
                </c:pt>
                <c:pt idx="58">
                  <c:v>100.70610728039078</c:v>
                </c:pt>
                <c:pt idx="59">
                  <c:v>101.80809564149631</c:v>
                </c:pt>
                <c:pt idx="60">
                  <c:v>102.41072882851708</c:v>
                </c:pt>
                <c:pt idx="61">
                  <c:v>102.5307111176099</c:v>
                </c:pt>
                <c:pt idx="62">
                  <c:v>103.59140069869166</c:v>
                </c:pt>
                <c:pt idx="63">
                  <c:v>103.07040735068759</c:v>
                </c:pt>
                <c:pt idx="64">
                  <c:v>103.18039415746892</c:v>
                </c:pt>
                <c:pt idx="65">
                  <c:v>102.84363272651845</c:v>
                </c:pt>
                <c:pt idx="66">
                  <c:v>104.00833080242572</c:v>
                </c:pt>
                <c:pt idx="67">
                  <c:v>104.75321936816296</c:v>
                </c:pt>
                <c:pt idx="68">
                  <c:v>105.79243317578458</c:v>
                </c:pt>
                <c:pt idx="69">
                  <c:v>105.40671718544431</c:v>
                </c:pt>
                <c:pt idx="70">
                  <c:v>105.379532076403</c:v>
                </c:pt>
                <c:pt idx="71">
                  <c:v>105.47336882921964</c:v>
                </c:pt>
                <c:pt idx="72">
                  <c:v>105.43853273399118</c:v>
                </c:pt>
                <c:pt idx="73">
                  <c:v>102.74056329941565</c:v>
                </c:pt>
                <c:pt idx="74">
                  <c:v>102.67412900978361</c:v>
                </c:pt>
                <c:pt idx="75">
                  <c:v>103.68597624896303</c:v>
                </c:pt>
                <c:pt idx="76">
                  <c:v>104.10769449310084</c:v>
                </c:pt>
                <c:pt idx="77">
                  <c:v>105.22448363974033</c:v>
                </c:pt>
                <c:pt idx="78">
                  <c:v>104.72496780254268</c:v>
                </c:pt>
                <c:pt idx="79">
                  <c:v>106.00712106647747</c:v>
                </c:pt>
                <c:pt idx="80">
                  <c:v>107.08495929322847</c:v>
                </c:pt>
                <c:pt idx="81">
                  <c:v>106.76395060021925</c:v>
                </c:pt>
                <c:pt idx="82">
                  <c:v>105.70868702682529</c:v>
                </c:pt>
                <c:pt idx="83">
                  <c:v>106.55185915645389</c:v>
                </c:pt>
                <c:pt idx="84">
                  <c:v>107.27047755169009</c:v>
                </c:pt>
                <c:pt idx="85">
                  <c:v>107.923339276188</c:v>
                </c:pt>
                <c:pt idx="86">
                  <c:v>109.16169265496686</c:v>
                </c:pt>
                <c:pt idx="87">
                  <c:v>109.53774172897114</c:v>
                </c:pt>
                <c:pt idx="88">
                  <c:v>109.72233201298862</c:v>
                </c:pt>
                <c:pt idx="89">
                  <c:v>107.33275400913145</c:v>
                </c:pt>
                <c:pt idx="90">
                  <c:v>107.47130966865788</c:v>
                </c:pt>
                <c:pt idx="91">
                  <c:v>108.18213590582086</c:v>
                </c:pt>
                <c:pt idx="92">
                  <c:v>107.49783315141464</c:v>
                </c:pt>
                <c:pt idx="93">
                  <c:v>106.79461883527378</c:v>
                </c:pt>
                <c:pt idx="94">
                  <c:v>107.67196436094899</c:v>
                </c:pt>
                <c:pt idx="95">
                  <c:v>108.09495496148698</c:v>
                </c:pt>
                <c:pt idx="96">
                  <c:v>108.74937945868329</c:v>
                </c:pt>
                <c:pt idx="97">
                  <c:v>109.07100727122412</c:v>
                </c:pt>
                <c:pt idx="98">
                  <c:v>108.41391735756395</c:v>
                </c:pt>
                <c:pt idx="99">
                  <c:v>107.6895584923454</c:v>
                </c:pt>
                <c:pt idx="100">
                  <c:v>109.33032973475554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C9-4EE5-9637-0EA0C12669D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Sheet1!$C$6:$C$106</c:f>
              <c:numCache>
                <c:formatCode>General</c:formatCode>
                <c:ptCount val="101"/>
                <c:pt idx="0">
                  <c:v>100</c:v>
                </c:pt>
                <c:pt idx="1">
                  <c:v>100.12990186589896</c:v>
                </c:pt>
                <c:pt idx="2">
                  <c:v>100.39332827227122</c:v>
                </c:pt>
                <c:pt idx="3">
                  <c:v>99.071587085270949</c:v>
                </c:pt>
                <c:pt idx="4">
                  <c:v>100.41373164973281</c:v>
                </c:pt>
                <c:pt idx="5">
                  <c:v>102.44217630474829</c:v>
                </c:pt>
                <c:pt idx="6">
                  <c:v>102.69487379961053</c:v>
                </c:pt>
                <c:pt idx="7">
                  <c:v>102.12691089877242</c:v>
                </c:pt>
                <c:pt idx="8">
                  <c:v>102.87371451391954</c:v>
                </c:pt>
                <c:pt idx="9">
                  <c:v>103.88111373035993</c:v>
                </c:pt>
                <c:pt idx="10">
                  <c:v>103.15840133028036</c:v>
                </c:pt>
                <c:pt idx="11">
                  <c:v>102.79821594525745</c:v>
                </c:pt>
                <c:pt idx="12">
                  <c:v>101.55979293663371</c:v>
                </c:pt>
                <c:pt idx="13">
                  <c:v>101.74263193664153</c:v>
                </c:pt>
                <c:pt idx="14">
                  <c:v>102.54163852230303</c:v>
                </c:pt>
                <c:pt idx="15">
                  <c:v>101.83647944543114</c:v>
                </c:pt>
                <c:pt idx="16">
                  <c:v>101.49072960275085</c:v>
                </c:pt>
                <c:pt idx="17">
                  <c:v>101.93595457681272</c:v>
                </c:pt>
                <c:pt idx="18">
                  <c:v>103.10076744630581</c:v>
                </c:pt>
                <c:pt idx="19">
                  <c:v>102.78701543377443</c:v>
                </c:pt>
                <c:pt idx="20">
                  <c:v>104.00179002168758</c:v>
                </c:pt>
                <c:pt idx="21">
                  <c:v>107.24777817689909</c:v>
                </c:pt>
                <c:pt idx="22">
                  <c:v>106.01243293441524</c:v>
                </c:pt>
                <c:pt idx="23">
                  <c:v>104.49319567521431</c:v>
                </c:pt>
                <c:pt idx="24">
                  <c:v>103.99658797680691</c:v>
                </c:pt>
                <c:pt idx="25">
                  <c:v>104.66545536965197</c:v>
                </c:pt>
                <c:pt idx="26">
                  <c:v>105.42709177607567</c:v>
                </c:pt>
                <c:pt idx="27">
                  <c:v>105.65015062632135</c:v>
                </c:pt>
                <c:pt idx="28">
                  <c:v>108.12862591447698</c:v>
                </c:pt>
                <c:pt idx="29">
                  <c:v>108.43645588540153</c:v>
                </c:pt>
                <c:pt idx="30">
                  <c:v>107.94265025265312</c:v>
                </c:pt>
                <c:pt idx="31">
                  <c:v>107.13090362073351</c:v>
                </c:pt>
                <c:pt idx="32">
                  <c:v>106.90546650971672</c:v>
                </c:pt>
                <c:pt idx="33">
                  <c:v>107.17665173338088</c:v>
                </c:pt>
                <c:pt idx="34">
                  <c:v>106.63559792974931</c:v>
                </c:pt>
                <c:pt idx="35">
                  <c:v>106.72273580085917</c:v>
                </c:pt>
                <c:pt idx="36">
                  <c:v>107.10200150040056</c:v>
                </c:pt>
                <c:pt idx="37">
                  <c:v>106.65145457191102</c:v>
                </c:pt>
                <c:pt idx="38">
                  <c:v>108.53686960646627</c:v>
                </c:pt>
                <c:pt idx="39">
                  <c:v>108.02518439756322</c:v>
                </c:pt>
                <c:pt idx="40">
                  <c:v>108.31711083505074</c:v>
                </c:pt>
                <c:pt idx="41">
                  <c:v>108.55168652038023</c:v>
                </c:pt>
                <c:pt idx="42">
                  <c:v>109.83860991673863</c:v>
                </c:pt>
                <c:pt idx="43">
                  <c:v>108.44075171283912</c:v>
                </c:pt>
                <c:pt idx="44">
                  <c:v>107.80263802333714</c:v>
                </c:pt>
                <c:pt idx="45">
                  <c:v>107.36960507119159</c:v>
                </c:pt>
                <c:pt idx="46">
                  <c:v>109.58115327156329</c:v>
                </c:pt>
                <c:pt idx="47">
                  <c:v>107.88531768768395</c:v>
                </c:pt>
                <c:pt idx="48">
                  <c:v>105.55389657973645</c:v>
                </c:pt>
                <c:pt idx="49">
                  <c:v>106.1193997295248</c:v>
                </c:pt>
                <c:pt idx="50">
                  <c:v>105.97682189101445</c:v>
                </c:pt>
                <c:pt idx="51">
                  <c:v>104.98621577704451</c:v>
                </c:pt>
                <c:pt idx="52">
                  <c:v>103.87059424150891</c:v>
                </c:pt>
                <c:pt idx="53">
                  <c:v>101.74738322647028</c:v>
                </c:pt>
                <c:pt idx="54">
                  <c:v>102.89772639432111</c:v>
                </c:pt>
                <c:pt idx="55">
                  <c:v>101.87558335960638</c:v>
                </c:pt>
                <c:pt idx="56">
                  <c:v>102.37106850645105</c:v>
                </c:pt>
                <c:pt idx="57">
                  <c:v>100.78899611744495</c:v>
                </c:pt>
                <c:pt idx="58">
                  <c:v>100.77760041693918</c:v>
                </c:pt>
                <c:pt idx="59">
                  <c:v>101.88184198074342</c:v>
                </c:pt>
                <c:pt idx="60">
                  <c:v>102.48208830091328</c:v>
                </c:pt>
                <c:pt idx="61">
                  <c:v>102.59760755789604</c:v>
                </c:pt>
                <c:pt idx="62">
                  <c:v>103.65983341705228</c:v>
                </c:pt>
                <c:pt idx="63">
                  <c:v>103.13516350203248</c:v>
                </c:pt>
                <c:pt idx="64">
                  <c:v>103.24063221877869</c:v>
                </c:pt>
                <c:pt idx="65">
                  <c:v>102.89959288236753</c:v>
                </c:pt>
                <c:pt idx="66">
                  <c:v>104.06686522700012</c:v>
                </c:pt>
                <c:pt idx="67">
                  <c:v>104.81013170497539</c:v>
                </c:pt>
                <c:pt idx="68">
                  <c:v>105.85032145083186</c:v>
                </c:pt>
                <c:pt idx="69">
                  <c:v>105.46035126390319</c:v>
                </c:pt>
                <c:pt idx="70">
                  <c:v>105.42841144409999</c:v>
                </c:pt>
                <c:pt idx="71">
                  <c:v>105.51758513504468</c:v>
                </c:pt>
                <c:pt idx="72">
                  <c:v>105.47799357406757</c:v>
                </c:pt>
                <c:pt idx="73">
                  <c:v>102.8086261137518</c:v>
                </c:pt>
                <c:pt idx="74">
                  <c:v>102.73754600815325</c:v>
                </c:pt>
                <c:pt idx="75">
                  <c:v>103.75035470166496</c:v>
                </c:pt>
                <c:pt idx="76">
                  <c:v>104.16850641855856</c:v>
                </c:pt>
                <c:pt idx="77">
                  <c:v>105.28722490359404</c:v>
                </c:pt>
                <c:pt idx="78">
                  <c:v>104.78388031271226</c:v>
                </c:pt>
                <c:pt idx="79">
                  <c:v>106.06986689140008</c:v>
                </c:pt>
                <c:pt idx="80">
                  <c:v>107.14902266616593</c:v>
                </c:pt>
                <c:pt idx="81">
                  <c:v>106.82349571603594</c:v>
                </c:pt>
                <c:pt idx="82">
                  <c:v>105.76808483757436</c:v>
                </c:pt>
                <c:pt idx="83">
                  <c:v>106.61030675642617</c:v>
                </c:pt>
                <c:pt idx="84">
                  <c:v>107.32691960075329</c:v>
                </c:pt>
                <c:pt idx="85">
                  <c:v>107.97725753643877</c:v>
                </c:pt>
                <c:pt idx="86">
                  <c:v>109.21845013654604</c:v>
                </c:pt>
                <c:pt idx="87">
                  <c:v>109.59041185763363</c:v>
                </c:pt>
                <c:pt idx="88">
                  <c:v>109.77030682080928</c:v>
                </c:pt>
                <c:pt idx="89">
                  <c:v>107.40069489064307</c:v>
                </c:pt>
                <c:pt idx="90">
                  <c:v>107.53458861531722</c:v>
                </c:pt>
                <c:pt idx="91">
                  <c:v>108.24331964407719</c:v>
                </c:pt>
                <c:pt idx="92">
                  <c:v>107.55595068041977</c:v>
                </c:pt>
                <c:pt idx="93">
                  <c:v>106.84984415610968</c:v>
                </c:pt>
                <c:pt idx="94">
                  <c:v>107.72641114297397</c:v>
                </c:pt>
                <c:pt idx="95">
                  <c:v>108.14558134928632</c:v>
                </c:pt>
                <c:pt idx="96">
                  <c:v>108.79740228347799</c:v>
                </c:pt>
                <c:pt idx="97">
                  <c:v>109.11473813933166</c:v>
                </c:pt>
                <c:pt idx="98">
                  <c:v>108.4544803281305</c:v>
                </c:pt>
                <c:pt idx="99">
                  <c:v>107.7274179975138</c:v>
                </c:pt>
                <c:pt idx="100">
                  <c:v>109.37641165859797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9-4EE5-9637-0EA0C1266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931647"/>
        <c:axId val="1797595119"/>
      </c:lineChart>
      <c:catAx>
        <c:axId val="15639316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7595119"/>
        <c:crosses val="autoZero"/>
        <c:auto val="1"/>
        <c:lblAlgn val="ctr"/>
        <c:lblOffset val="100"/>
        <c:noMultiLvlLbl val="0"/>
      </c:catAx>
      <c:valAx>
        <c:axId val="179759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3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독립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Sheet2!$C$7:$C$107</c:f>
              <c:numCache>
                <c:formatCode>General</c:formatCode>
                <c:ptCount val="101"/>
                <c:pt idx="0">
                  <c:v>100</c:v>
                </c:pt>
                <c:pt idx="1">
                  <c:v>99.790968750909272</c:v>
                </c:pt>
                <c:pt idx="2">
                  <c:v>100.2213152356333</c:v>
                </c:pt>
                <c:pt idx="3">
                  <c:v>100.58021109773199</c:v>
                </c:pt>
                <c:pt idx="4">
                  <c:v>99.842042911686008</c:v>
                </c:pt>
                <c:pt idx="5">
                  <c:v>99.464614629532576</c:v>
                </c:pt>
                <c:pt idx="6">
                  <c:v>100.54564399197443</c:v>
                </c:pt>
                <c:pt idx="7">
                  <c:v>99.643384558684062</c:v>
                </c:pt>
                <c:pt idx="8">
                  <c:v>100.7008552114718</c:v>
                </c:pt>
                <c:pt idx="9">
                  <c:v>100.50675953023492</c:v>
                </c:pt>
                <c:pt idx="10">
                  <c:v>102.02115210313228</c:v>
                </c:pt>
                <c:pt idx="11">
                  <c:v>100.6721861139076</c:v>
                </c:pt>
                <c:pt idx="12">
                  <c:v>101.46145632229998</c:v>
                </c:pt>
                <c:pt idx="13">
                  <c:v>101.2130982702683</c:v>
                </c:pt>
                <c:pt idx="14">
                  <c:v>100.31439344262941</c:v>
                </c:pt>
                <c:pt idx="15">
                  <c:v>100.63542293091879</c:v>
                </c:pt>
                <c:pt idx="16">
                  <c:v>100.10232134444647</c:v>
                </c:pt>
                <c:pt idx="17">
                  <c:v>100.6419703347137</c:v>
                </c:pt>
                <c:pt idx="18">
                  <c:v>100.53763330125742</c:v>
                </c:pt>
                <c:pt idx="19">
                  <c:v>101.57431860447292</c:v>
                </c:pt>
                <c:pt idx="20">
                  <c:v>102.26582922081982</c:v>
                </c:pt>
                <c:pt idx="21">
                  <c:v>102.71334727232703</c:v>
                </c:pt>
                <c:pt idx="22">
                  <c:v>102.61147020142147</c:v>
                </c:pt>
                <c:pt idx="23">
                  <c:v>102.65836612420146</c:v>
                </c:pt>
                <c:pt idx="24">
                  <c:v>102.81625168222816</c:v>
                </c:pt>
                <c:pt idx="25">
                  <c:v>103.72331347267058</c:v>
                </c:pt>
                <c:pt idx="26">
                  <c:v>103.45173214824968</c:v>
                </c:pt>
                <c:pt idx="27">
                  <c:v>104.97750924170786</c:v>
                </c:pt>
                <c:pt idx="28">
                  <c:v>105.68465118020715</c:v>
                </c:pt>
                <c:pt idx="29">
                  <c:v>105.60436480047126</c:v>
                </c:pt>
                <c:pt idx="30">
                  <c:v>104.01527235397165</c:v>
                </c:pt>
                <c:pt idx="31">
                  <c:v>103.67134371348625</c:v>
                </c:pt>
                <c:pt idx="32">
                  <c:v>102.84494467869763</c:v>
                </c:pt>
                <c:pt idx="33">
                  <c:v>101.82372379124286</c:v>
                </c:pt>
                <c:pt idx="34">
                  <c:v>100.2371809652721</c:v>
                </c:pt>
                <c:pt idx="35">
                  <c:v>100.64399713675151</c:v>
                </c:pt>
                <c:pt idx="36">
                  <c:v>100.50304153568206</c:v>
                </c:pt>
                <c:pt idx="37">
                  <c:v>101.46305944327527</c:v>
                </c:pt>
                <c:pt idx="38">
                  <c:v>100.54913854584146</c:v>
                </c:pt>
                <c:pt idx="39">
                  <c:v>100.90407314336998</c:v>
                </c:pt>
                <c:pt idx="40">
                  <c:v>100.59541788327026</c:v>
                </c:pt>
                <c:pt idx="41">
                  <c:v>101.04122782902239</c:v>
                </c:pt>
                <c:pt idx="42">
                  <c:v>102.67030415278208</c:v>
                </c:pt>
                <c:pt idx="43">
                  <c:v>104.58391101007301</c:v>
                </c:pt>
                <c:pt idx="44">
                  <c:v>104.30372664479802</c:v>
                </c:pt>
                <c:pt idx="45">
                  <c:v>103.82495332934873</c:v>
                </c:pt>
                <c:pt idx="46">
                  <c:v>103.24833229194492</c:v>
                </c:pt>
                <c:pt idx="47">
                  <c:v>102.89142996364461</c:v>
                </c:pt>
                <c:pt idx="48">
                  <c:v>102.60542443304028</c:v>
                </c:pt>
                <c:pt idx="49">
                  <c:v>103.19636459275053</c:v>
                </c:pt>
                <c:pt idx="50">
                  <c:v>103.87612306943778</c:v>
                </c:pt>
                <c:pt idx="51">
                  <c:v>103.33706739055562</c:v>
                </c:pt>
                <c:pt idx="52">
                  <c:v>103.29930178399918</c:v>
                </c:pt>
                <c:pt idx="53">
                  <c:v>102.95480122713252</c:v>
                </c:pt>
                <c:pt idx="54">
                  <c:v>103.12683739417592</c:v>
                </c:pt>
                <c:pt idx="55">
                  <c:v>103.47644366108128</c:v>
                </c:pt>
                <c:pt idx="56">
                  <c:v>102.78775698051663</c:v>
                </c:pt>
                <c:pt idx="57">
                  <c:v>102.0556992155998</c:v>
                </c:pt>
                <c:pt idx="58">
                  <c:v>101.9194435480055</c:v>
                </c:pt>
                <c:pt idx="59">
                  <c:v>101.57948639296262</c:v>
                </c:pt>
                <c:pt idx="60">
                  <c:v>101.33257378933422</c:v>
                </c:pt>
                <c:pt idx="61">
                  <c:v>99.441713286221315</c:v>
                </c:pt>
                <c:pt idx="62">
                  <c:v>99.454588343465829</c:v>
                </c:pt>
                <c:pt idx="63">
                  <c:v>99.501840715928054</c:v>
                </c:pt>
                <c:pt idx="64">
                  <c:v>99.700298934524923</c:v>
                </c:pt>
                <c:pt idx="65">
                  <c:v>100.72480065401349</c:v>
                </c:pt>
                <c:pt idx="66">
                  <c:v>99.825099380754736</c:v>
                </c:pt>
                <c:pt idx="67">
                  <c:v>100.40729813190312</c:v>
                </c:pt>
                <c:pt idx="68">
                  <c:v>100.23071127911722</c:v>
                </c:pt>
                <c:pt idx="69">
                  <c:v>100.47569520976135</c:v>
                </c:pt>
                <c:pt idx="70">
                  <c:v>100.44463179530385</c:v>
                </c:pt>
                <c:pt idx="71">
                  <c:v>99.717991414666827</c:v>
                </c:pt>
                <c:pt idx="72">
                  <c:v>99.474883212256032</c:v>
                </c:pt>
                <c:pt idx="73">
                  <c:v>99.308219353328468</c:v>
                </c:pt>
                <c:pt idx="74">
                  <c:v>99.450027692394315</c:v>
                </c:pt>
                <c:pt idx="75">
                  <c:v>99.55493700168276</c:v>
                </c:pt>
                <c:pt idx="76">
                  <c:v>99.451596092994876</c:v>
                </c:pt>
                <c:pt idx="77">
                  <c:v>100.00784001247023</c:v>
                </c:pt>
                <c:pt idx="78">
                  <c:v>99.068129710544923</c:v>
                </c:pt>
                <c:pt idx="79">
                  <c:v>99.977712323510559</c:v>
                </c:pt>
                <c:pt idx="80">
                  <c:v>97.927817225504867</c:v>
                </c:pt>
                <c:pt idx="81">
                  <c:v>98.179339714008151</c:v>
                </c:pt>
                <c:pt idx="82">
                  <c:v>98.552339006217466</c:v>
                </c:pt>
                <c:pt idx="83">
                  <c:v>99.141604883152326</c:v>
                </c:pt>
                <c:pt idx="84">
                  <c:v>99.377072042053626</c:v>
                </c:pt>
                <c:pt idx="85">
                  <c:v>99.517167245265526</c:v>
                </c:pt>
                <c:pt idx="86">
                  <c:v>99.447517873205385</c:v>
                </c:pt>
                <c:pt idx="87">
                  <c:v>99.874117750547043</c:v>
                </c:pt>
                <c:pt idx="88">
                  <c:v>100.06978933439521</c:v>
                </c:pt>
                <c:pt idx="89">
                  <c:v>100.99041645849718</c:v>
                </c:pt>
                <c:pt idx="90">
                  <c:v>100.63011579358282</c:v>
                </c:pt>
                <c:pt idx="91">
                  <c:v>102.56198316016015</c:v>
                </c:pt>
                <c:pt idx="92">
                  <c:v>104.24468161111898</c:v>
                </c:pt>
                <c:pt idx="93">
                  <c:v>105.09050337846853</c:v>
                </c:pt>
                <c:pt idx="94">
                  <c:v>104.89466362873074</c:v>
                </c:pt>
                <c:pt idx="95">
                  <c:v>107.42122926305365</c:v>
                </c:pt>
                <c:pt idx="96">
                  <c:v>107.67293455297576</c:v>
                </c:pt>
                <c:pt idx="97">
                  <c:v>107.77412701791576</c:v>
                </c:pt>
                <c:pt idx="98">
                  <c:v>108.16765060196073</c:v>
                </c:pt>
                <c:pt idx="99">
                  <c:v>108.12666403585931</c:v>
                </c:pt>
                <c:pt idx="100">
                  <c:v>107.79323729613645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5-4F0D-B48E-29CDC9C769FA}"/>
            </c:ext>
          </c:extLst>
        </c:ser>
        <c:ser>
          <c:idx val="1"/>
          <c:order val="1"/>
          <c:tx>
            <c:v>자기상관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Sheet2!$E$7:$E$107</c:f>
              <c:numCache>
                <c:formatCode>General</c:formatCode>
                <c:ptCount val="101"/>
                <c:pt idx="0">
                  <c:v>100</c:v>
                </c:pt>
                <c:pt idx="1">
                  <c:v>99.807260815181522</c:v>
                </c:pt>
                <c:pt idx="2">
                  <c:v>100.07213856144148</c:v>
                </c:pt>
                <c:pt idx="3">
                  <c:v>100.50355794811273</c:v>
                </c:pt>
                <c:pt idx="4">
                  <c:v>100.06964058460127</c:v>
                </c:pt>
                <c:pt idx="5">
                  <c:v>99.514290048792475</c:v>
                </c:pt>
                <c:pt idx="6">
                  <c:v>100.16316631029757</c:v>
                </c:pt>
                <c:pt idx="7">
                  <c:v>99.699580787734078</c:v>
                </c:pt>
                <c:pt idx="8">
                  <c:v>100.37349614230111</c:v>
                </c:pt>
                <c:pt idx="9">
                  <c:v>100.5334295550832</c:v>
                </c:pt>
                <c:pt idx="10">
                  <c:v>101.91359884039196</c:v>
                </c:pt>
                <c:pt idx="11">
                  <c:v>101.43421310531508</c:v>
                </c:pt>
                <c:pt idx="12">
                  <c:v>101.87246885715574</c:v>
                </c:pt>
                <c:pt idx="13">
                  <c:v>101.86465569077784</c:v>
                </c:pt>
                <c:pt idx="14">
                  <c:v>101.06550667997379</c:v>
                </c:pt>
                <c:pt idx="15">
                  <c:v>100.93733069459148</c:v>
                </c:pt>
                <c:pt idx="16">
                  <c:v>100.39843681847658</c:v>
                </c:pt>
                <c:pt idx="17">
                  <c:v>100.5874011634332</c:v>
                </c:pt>
                <c:pt idx="18">
                  <c:v>100.57997002271762</c:v>
                </c:pt>
                <c:pt idx="19">
                  <c:v>101.4626478561553</c:v>
                </c:pt>
                <c:pt idx="20">
                  <c:v>102.49418314856129</c:v>
                </c:pt>
                <c:pt idx="21">
                  <c:v>103.39161687802294</c:v>
                </c:pt>
                <c:pt idx="22">
                  <c:v>103.74334186992382</c:v>
                </c:pt>
                <c:pt idx="23">
                  <c:v>103.94871241302766</c:v>
                </c:pt>
                <c:pt idx="24">
                  <c:v>104.17787718669256</c:v>
                </c:pt>
                <c:pt idx="25">
                  <c:v>105.07645169008316</c:v>
                </c:pt>
                <c:pt idx="26">
                  <c:v>105.27904219448351</c:v>
                </c:pt>
                <c:pt idx="27">
                  <c:v>106.71290308298356</c:v>
                </c:pt>
                <c:pt idx="28">
                  <c:v>108.04962534398868</c:v>
                </c:pt>
                <c:pt idx="29">
                  <c:v>108.64261698029732</c:v>
                </c:pt>
                <c:pt idx="30">
                  <c:v>107.5122271713518</c:v>
                </c:pt>
                <c:pt idx="31">
                  <c:v>106.63245564561163</c:v>
                </c:pt>
                <c:pt idx="32">
                  <c:v>105.44755556851777</c:v>
                </c:pt>
                <c:pt idx="33">
                  <c:v>103.94255387779816</c:v>
                </c:pt>
                <c:pt idx="34">
                  <c:v>101.7860411068762</c:v>
                </c:pt>
                <c:pt idx="35">
                  <c:v>101.07599053533137</c:v>
                </c:pt>
                <c:pt idx="36">
                  <c:v>100.58900793715853</c:v>
                </c:pt>
                <c:pt idx="37">
                  <c:v>101.16701901643077</c:v>
                </c:pt>
                <c:pt idx="38">
                  <c:v>100.65666635091489</c:v>
                </c:pt>
                <c:pt idx="39">
                  <c:v>100.69869866214717</c:v>
                </c:pt>
                <c:pt idx="40">
                  <c:v>100.44116970137509</c:v>
                </c:pt>
                <c:pt idx="41">
                  <c:v>100.68646077721974</c:v>
                </c:pt>
                <c:pt idx="42">
                  <c:v>102.20348054460183</c:v>
                </c:pt>
                <c:pt idx="43">
                  <c:v>104.61114483143024</c:v>
                </c:pt>
                <c:pt idx="44">
                  <c:v>105.58837344743029</c:v>
                </c:pt>
                <c:pt idx="45">
                  <c:v>105.64944819169497</c:v>
                </c:pt>
                <c:pt idx="46">
                  <c:v>105.15948493752107</c:v>
                </c:pt>
                <c:pt idx="47">
                  <c:v>104.58851455965385</c:v>
                </c:pt>
                <c:pt idx="48">
                  <c:v>104.04055576848637</c:v>
                </c:pt>
                <c:pt idx="49">
                  <c:v>104.27475297908808</c:v>
                </c:pt>
                <c:pt idx="50">
                  <c:v>104.97474149104347</c:v>
                </c:pt>
                <c:pt idx="51">
                  <c:v>104.8430164579682</c:v>
                </c:pt>
                <c:pt idx="52">
                  <c:v>104.73177391652095</c:v>
                </c:pt>
                <c:pt idx="53">
                  <c:v>104.36146116447641</c:v>
                </c:pt>
                <c:pt idx="54">
                  <c:v>104.31575909864705</c:v>
                </c:pt>
                <c:pt idx="55">
                  <c:v>104.58695820160439</c:v>
                </c:pt>
                <c:pt idx="56">
                  <c:v>104.10783923613249</c:v>
                </c:pt>
                <c:pt idx="57">
                  <c:v>103.21506052731229</c:v>
                </c:pt>
                <c:pt idx="58">
                  <c:v>102.64106843682343</c:v>
                </c:pt>
                <c:pt idx="59">
                  <c:v>102.04715018891515</c:v>
                </c:pt>
                <c:pt idx="60">
                  <c:v>101.52513973046963</c:v>
                </c:pt>
                <c:pt idx="61">
                  <c:v>99.612933099679879</c:v>
                </c:pt>
                <c:pt idx="62">
                  <c:v>98.674339656316477</c:v>
                </c:pt>
                <c:pt idx="63">
                  <c:v>98.238508010298688</c:v>
                </c:pt>
                <c:pt idx="64">
                  <c:v>98.17973590043411</c:v>
                </c:pt>
                <c:pt idx="65">
                  <c:v>99.012580665819783</c:v>
                </c:pt>
                <c:pt idx="66">
                  <c:v>98.655019188264959</c:v>
                </c:pt>
                <c:pt idx="67">
                  <c:v>98.963617838331487</c:v>
                </c:pt>
                <c:pt idx="68">
                  <c:v>98.956078542397265</c:v>
                </c:pt>
                <c:pt idx="69">
                  <c:v>99.150182883229988</c:v>
                </c:pt>
                <c:pt idx="70">
                  <c:v>99.209265339153248</c:v>
                </c:pt>
                <c:pt idx="71">
                  <c:v>98.60565455849445</c:v>
                </c:pt>
                <c:pt idx="72">
                  <c:v>98.085946556332189</c:v>
                </c:pt>
                <c:pt idx="73">
                  <c:v>97.67365368111993</c:v>
                </c:pt>
                <c:pt idx="74">
                  <c:v>97.577721660347819</c:v>
                </c:pt>
                <c:pt idx="75">
                  <c:v>97.607517317195146</c:v>
                </c:pt>
                <c:pt idx="76">
                  <c:v>97.523241907985664</c:v>
                </c:pt>
                <c:pt idx="77">
                  <c:v>97.942098717761439</c:v>
                </c:pt>
                <c:pt idx="78">
                  <c:v>97.343951790517053</c:v>
                </c:pt>
                <c:pt idx="79">
                  <c:v>97.809315270311743</c:v>
                </c:pt>
                <c:pt idx="80">
                  <c:v>96.294895212490118</c:v>
                </c:pt>
                <c:pt idx="81">
                  <c:v>95.752323212224894</c:v>
                </c:pt>
                <c:pt idx="82">
                  <c:v>95.786392040295283</c:v>
                </c:pt>
                <c:pt idx="83">
                  <c:v>96.288209953103802</c:v>
                </c:pt>
                <c:pt idx="84">
                  <c:v>96.72720684875226</c:v>
                </c:pt>
                <c:pt idx="85">
                  <c:v>97.054467433245904</c:v>
                </c:pt>
                <c:pt idx="86">
                  <c:v>97.148458069314728</c:v>
                </c:pt>
                <c:pt idx="87">
                  <c:v>97.54502543351235</c:v>
                </c:pt>
                <c:pt idx="88">
                  <c:v>97.898198046330236</c:v>
                </c:pt>
                <c:pt idx="89">
                  <c:v>98.843941818283653</c:v>
                </c:pt>
                <c:pt idx="90">
                  <c:v>99.004406890532721</c:v>
                </c:pt>
                <c:pt idx="91">
                  <c:v>100.71919114274098</c:v>
                </c:pt>
                <c:pt idx="92">
                  <c:v>103.01071264915761</c:v>
                </c:pt>
                <c:pt idx="93">
                  <c:v>104.89430815115807</c:v>
                </c:pt>
                <c:pt idx="94">
                  <c:v>105.67175544276716</c:v>
                </c:pt>
                <c:pt idx="95">
                  <c:v>108.25526298149214</c:v>
                </c:pt>
                <c:pt idx="96">
                  <c:v>109.78559398183528</c:v>
                </c:pt>
                <c:pt idx="97">
                  <c:v>110.63807186846212</c:v>
                </c:pt>
                <c:pt idx="98">
                  <c:v>111.40451943470096</c:v>
                </c:pt>
                <c:pt idx="99">
                  <c:v>111.74079181394048</c:v>
                </c:pt>
                <c:pt idx="100">
                  <c:v>111.59793984831863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15-4F0D-B48E-29CDC9C7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952847"/>
        <c:axId val="1629225903"/>
      </c:lineChart>
      <c:catAx>
        <c:axId val="15639528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9225903"/>
        <c:crosses val="autoZero"/>
        <c:auto val="1"/>
        <c:lblAlgn val="ctr"/>
        <c:lblOffset val="100"/>
        <c:noMultiLvlLbl val="0"/>
      </c:catAx>
      <c:valAx>
        <c:axId val="16292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5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4</xdr:row>
      <xdr:rowOff>100012</xdr:rowOff>
    </xdr:from>
    <xdr:to>
      <xdr:col>12</xdr:col>
      <xdr:colOff>285750</xdr:colOff>
      <xdr:row>17</xdr:row>
      <xdr:rowOff>119062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71A2FB6-D112-4936-9D30-100CB44A4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433387</xdr:colOff>
      <xdr:row>10</xdr:row>
      <xdr:rowOff>161925</xdr:rowOff>
    </xdr:from>
    <xdr:to>
      <xdr:col>14</xdr:col>
      <xdr:colOff>204787</xdr:colOff>
      <xdr:row>23</xdr:row>
      <xdr:rowOff>180975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4964C82-C21F-4E35-84B8-60C041C96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9AEC7-E729-4078-B77C-DB58F6C3CC88}">
  <dimension ref="A1:H106"/>
  <sheetViews>
    <sheetView zoomScale="130" zoomScaleNormal="130" workbookViewId="0">
      <selection activeCell="C7" sqref="C7"/>
    </sheetView>
  </sheetViews>
  <sheetFormatPr defaultRowHeight="16.5" x14ac:dyDescent="0.3"/>
  <cols>
    <col min="3" max="3" width="11" bestFit="1" customWidth="1"/>
    <col min="8" max="8" width="16.5" bestFit="1" customWidth="1"/>
  </cols>
  <sheetData>
    <row r="1" spans="1:8" x14ac:dyDescent="0.3">
      <c r="A1" t="s">
        <v>0</v>
      </c>
      <c r="B1">
        <v>0.08</v>
      </c>
      <c r="C1" t="s">
        <v>3</v>
      </c>
      <c r="G1">
        <v>250</v>
      </c>
      <c r="H1" t="s">
        <v>7</v>
      </c>
    </row>
    <row r="2" spans="1:8" x14ac:dyDescent="0.3">
      <c r="A2" t="s">
        <v>1</v>
      </c>
      <c r="B2">
        <v>0.15</v>
      </c>
      <c r="C2" t="s">
        <v>4</v>
      </c>
      <c r="G2">
        <v>360</v>
      </c>
      <c r="H2" t="s">
        <v>9</v>
      </c>
    </row>
    <row r="3" spans="1:8" x14ac:dyDescent="0.3">
      <c r="A3" t="s">
        <v>2</v>
      </c>
      <c r="B3">
        <v>4.0000000000000001E-3</v>
      </c>
      <c r="G3">
        <v>365</v>
      </c>
      <c r="H3" t="s">
        <v>8</v>
      </c>
    </row>
    <row r="5" spans="1:8" x14ac:dyDescent="0.3">
      <c r="A5" t="s">
        <v>5</v>
      </c>
      <c r="B5" t="s">
        <v>6</v>
      </c>
      <c r="D5" t="s">
        <v>10</v>
      </c>
    </row>
    <row r="6" spans="1:8" x14ac:dyDescent="0.3">
      <c r="A6">
        <v>0</v>
      </c>
      <c r="B6">
        <v>100</v>
      </c>
      <c r="C6">
        <v>100</v>
      </c>
    </row>
    <row r="7" spans="1:8" x14ac:dyDescent="0.3">
      <c r="A7">
        <v>1</v>
      </c>
      <c r="B7">
        <f ca="1">B6*(1+$B$1*$B$3+$B$2*SQRT($B$3)*D7)</f>
        <v>100.13431756642164</v>
      </c>
      <c r="C7">
        <f ca="1">C6*EXP(($B$1-0.5*$B$2^2)*$B$3+$B$2*SQRT($B$3)*D7)</f>
        <v>100.12990186589896</v>
      </c>
      <c r="D7">
        <f t="shared" ref="D7:D70" ca="1" si="0">_xlfn.NORM.INV(RAND(),0,1)</f>
        <v>0.10785218484597679</v>
      </c>
    </row>
    <row r="8" spans="1:8" x14ac:dyDescent="0.3">
      <c r="A8">
        <v>2</v>
      </c>
      <c r="B8">
        <f t="shared" ref="B8:B71" ca="1" si="1">B7*(1+$B$1*$B$3+$B$2*SQRT($B$3)*D8)</f>
        <v>100.40191570819387</v>
      </c>
      <c r="C8">
        <f t="shared" ref="C8:C71" ca="1" si="2">C7*EXP(($B$1-0.5*$B$2^2)*$B$3+$B$2*SQRT($B$3)*D8)</f>
        <v>100.39332827227122</v>
      </c>
      <c r="D8">
        <f t="shared" ca="1" si="0"/>
        <v>0.24796388117679194</v>
      </c>
    </row>
    <row r="9" spans="1:8" x14ac:dyDescent="0.3">
      <c r="A9">
        <v>3</v>
      </c>
      <c r="B9">
        <f t="shared" ca="1" si="1"/>
        <v>99.075800891804647</v>
      </c>
      <c r="C9">
        <f t="shared" ca="1" si="2"/>
        <v>99.071587085270949</v>
      </c>
      <c r="D9">
        <f t="shared" ca="1" si="0"/>
        <v>-1.4259830348242777</v>
      </c>
    </row>
    <row r="10" spans="1:8" x14ac:dyDescent="0.3">
      <c r="A10">
        <v>4</v>
      </c>
      <c r="B10">
        <f t="shared" ca="1" si="1"/>
        <v>100.41345068712003</v>
      </c>
      <c r="C10">
        <f t="shared" ca="1" si="2"/>
        <v>100.41373164973281</v>
      </c>
      <c r="D10">
        <f t="shared" ca="1" si="0"/>
        <v>1.3894285541299907</v>
      </c>
    </row>
    <row r="11" spans="1:8" x14ac:dyDescent="0.3">
      <c r="A11">
        <v>5</v>
      </c>
      <c r="B11">
        <f t="shared" ca="1" si="1"/>
        <v>102.42619196110054</v>
      </c>
      <c r="C11">
        <f t="shared" ca="1" si="2"/>
        <v>102.44217630474829</v>
      </c>
      <c r="D11">
        <f t="shared" ca="1" si="0"/>
        <v>2.0791489107433119</v>
      </c>
    </row>
    <row r="12" spans="1:8" x14ac:dyDescent="0.3">
      <c r="A12">
        <v>6</v>
      </c>
      <c r="B12">
        <f t="shared" ca="1" si="1"/>
        <v>102.68314809701099</v>
      </c>
      <c r="C12">
        <f t="shared" ca="1" si="2"/>
        <v>102.69487379961053</v>
      </c>
      <c r="D12">
        <f t="shared" ca="1" si="0"/>
        <v>0.23070877213791752</v>
      </c>
    </row>
    <row r="13" spans="1:8" x14ac:dyDescent="0.3">
      <c r="A13">
        <v>7</v>
      </c>
      <c r="B13">
        <f t="shared" ca="1" si="1"/>
        <v>102.11829456885802</v>
      </c>
      <c r="C13">
        <f t="shared" ca="1" si="2"/>
        <v>102.12691089877242</v>
      </c>
      <c r="D13">
        <f t="shared" ca="1" si="0"/>
        <v>-0.61358063404155017</v>
      </c>
    </row>
    <row r="14" spans="1:8" x14ac:dyDescent="0.3">
      <c r="A14">
        <v>8</v>
      </c>
      <c r="B14">
        <f t="shared" ca="1" si="1"/>
        <v>102.86691346534867</v>
      </c>
      <c r="C14">
        <f t="shared" ca="1" si="2"/>
        <v>102.87371451391954</v>
      </c>
      <c r="D14">
        <f t="shared" ca="1" si="0"/>
        <v>0.7390136355735808</v>
      </c>
    </row>
    <row r="15" spans="1:8" x14ac:dyDescent="0.3">
      <c r="A15">
        <v>9</v>
      </c>
      <c r="B15">
        <f t="shared" ca="1" si="1"/>
        <v>103.87397486440622</v>
      </c>
      <c r="C15">
        <f t="shared" ca="1" si="2"/>
        <v>103.88111373035993</v>
      </c>
      <c r="D15">
        <f t="shared" ca="1" si="0"/>
        <v>0.99821982381801766</v>
      </c>
    </row>
    <row r="16" spans="1:8" x14ac:dyDescent="0.3">
      <c r="A16">
        <v>10</v>
      </c>
      <c r="B16">
        <f t="shared" ca="1" si="1"/>
        <v>103.1534609163125</v>
      </c>
      <c r="C16">
        <f t="shared" ca="1" si="2"/>
        <v>103.15840133028036</v>
      </c>
      <c r="D16">
        <f t="shared" ca="1" si="0"/>
        <v>-0.76489426636706925</v>
      </c>
    </row>
    <row r="17" spans="1:4" x14ac:dyDescent="0.3">
      <c r="A17">
        <v>11</v>
      </c>
      <c r="B17">
        <f t="shared" ca="1" si="1"/>
        <v>102.7973044422168</v>
      </c>
      <c r="C17">
        <f t="shared" ca="1" si="2"/>
        <v>102.79821594525745</v>
      </c>
      <c r="D17">
        <f t="shared" ca="1" si="0"/>
        <v>-0.39767598483308936</v>
      </c>
    </row>
    <row r="18" spans="1:4" x14ac:dyDescent="0.3">
      <c r="A18">
        <v>12</v>
      </c>
      <c r="B18">
        <f t="shared" ca="1" si="1"/>
        <v>101.55599818255382</v>
      </c>
      <c r="C18">
        <f t="shared" ca="1" si="2"/>
        <v>101.55979293663371</v>
      </c>
      <c r="D18">
        <f t="shared" ca="1" si="0"/>
        <v>-1.3065772604379795</v>
      </c>
    </row>
    <row r="19" spans="1:4" x14ac:dyDescent="0.3">
      <c r="A19">
        <v>13</v>
      </c>
      <c r="B19">
        <f t="shared" ca="1" si="1"/>
        <v>101.74323599081978</v>
      </c>
      <c r="C19">
        <f t="shared" ca="1" si="2"/>
        <v>101.74263193664153</v>
      </c>
      <c r="D19">
        <f t="shared" ca="1" si="0"/>
        <v>0.16061105938154147</v>
      </c>
    </row>
    <row r="20" spans="1:4" x14ac:dyDescent="0.3">
      <c r="A20">
        <v>14</v>
      </c>
      <c r="B20">
        <f t="shared" ca="1" si="1"/>
        <v>102.54370469234071</v>
      </c>
      <c r="C20">
        <f t="shared" ca="1" si="2"/>
        <v>102.54163852230303</v>
      </c>
      <c r="D20">
        <f t="shared" ca="1" si="0"/>
        <v>0.79558028368052591</v>
      </c>
    </row>
    <row r="21" spans="1:4" x14ac:dyDescent="0.3">
      <c r="A21">
        <v>15</v>
      </c>
      <c r="B21">
        <f t="shared" ca="1" si="1"/>
        <v>101.8407100295248</v>
      </c>
      <c r="C21">
        <f t="shared" ca="1" si="2"/>
        <v>101.83647944543114</v>
      </c>
      <c r="D21">
        <f t="shared" ca="1" si="0"/>
        <v>-0.75637058290224002</v>
      </c>
    </row>
    <row r="22" spans="1:4" x14ac:dyDescent="0.3">
      <c r="A22">
        <v>16</v>
      </c>
      <c r="B22">
        <f t="shared" ca="1" si="1"/>
        <v>101.49894036320751</v>
      </c>
      <c r="C22">
        <f t="shared" ca="1" si="2"/>
        <v>101.49072960275085</v>
      </c>
      <c r="D22">
        <f t="shared" ca="1" si="0"/>
        <v>-0.38747639429138198</v>
      </c>
    </row>
    <row r="23" spans="1:4" x14ac:dyDescent="0.3">
      <c r="A23">
        <v>17</v>
      </c>
      <c r="B23">
        <f t="shared" ca="1" si="1"/>
        <v>101.94779500849857</v>
      </c>
      <c r="C23">
        <f t="shared" ca="1" si="2"/>
        <v>101.93595457681272</v>
      </c>
      <c r="D23">
        <f t="shared" ca="1" si="0"/>
        <v>0.43241611082500858</v>
      </c>
    </row>
    <row r="24" spans="1:4" x14ac:dyDescent="0.3">
      <c r="A24">
        <v>18</v>
      </c>
      <c r="B24">
        <f t="shared" ca="1" si="1"/>
        <v>103.11072522345331</v>
      </c>
      <c r="C24">
        <f t="shared" ca="1" si="2"/>
        <v>103.10076744630581</v>
      </c>
      <c r="D24">
        <f t="shared" ca="1" si="0"/>
        <v>1.1686845290760131</v>
      </c>
    </row>
    <row r="25" spans="1:4" x14ac:dyDescent="0.3">
      <c r="A25">
        <v>19</v>
      </c>
      <c r="B25">
        <f t="shared" ca="1" si="1"/>
        <v>102.80110447490163</v>
      </c>
      <c r="C25">
        <f t="shared" ca="1" si="2"/>
        <v>102.78701543377443</v>
      </c>
      <c r="D25">
        <f t="shared" ca="1" si="0"/>
        <v>-0.35025373343363492</v>
      </c>
    </row>
    <row r="26" spans="1:4" x14ac:dyDescent="0.3">
      <c r="A26">
        <v>20</v>
      </c>
      <c r="B26">
        <f t="shared" ca="1" si="1"/>
        <v>104.01354838102168</v>
      </c>
      <c r="C26">
        <f t="shared" ca="1" si="2"/>
        <v>104.00179002168758</v>
      </c>
      <c r="D26">
        <f t="shared" ca="1" si="0"/>
        <v>1.2094736705487614</v>
      </c>
    </row>
    <row r="27" spans="1:4" x14ac:dyDescent="0.3">
      <c r="A27">
        <v>21</v>
      </c>
      <c r="B27">
        <f t="shared" ca="1" si="1"/>
        <v>107.21495336060487</v>
      </c>
      <c r="C27">
        <f t="shared" ca="1" si="2"/>
        <v>107.24777817689909</v>
      </c>
      <c r="D27">
        <f t="shared" ca="1" si="0"/>
        <v>3.2106321062649972</v>
      </c>
    </row>
    <row r="28" spans="1:4" x14ac:dyDescent="0.3">
      <c r="A28">
        <v>22</v>
      </c>
      <c r="B28">
        <f t="shared" ca="1" si="1"/>
        <v>105.97764324126219</v>
      </c>
      <c r="C28">
        <f t="shared" ca="1" si="2"/>
        <v>106.01243293441524</v>
      </c>
      <c r="D28">
        <f t="shared" ca="1" si="0"/>
        <v>-1.2502024912402574</v>
      </c>
    </row>
    <row r="29" spans="1:4" x14ac:dyDescent="0.3">
      <c r="A29">
        <v>23</v>
      </c>
      <c r="B29">
        <f t="shared" ca="1" si="1"/>
        <v>104.45268611058991</v>
      </c>
      <c r="C29">
        <f t="shared" ca="1" si="2"/>
        <v>104.49319567521431</v>
      </c>
      <c r="D29">
        <f t="shared" ca="1" si="0"/>
        <v>-1.5505093184609302</v>
      </c>
    </row>
    <row r="30" spans="1:4" x14ac:dyDescent="0.3">
      <c r="A30">
        <v>24</v>
      </c>
      <c r="B30">
        <f t="shared" ca="1" si="1"/>
        <v>103.95978793986161</v>
      </c>
      <c r="C30">
        <f t="shared" ca="1" si="2"/>
        <v>103.99658797680691</v>
      </c>
      <c r="D30">
        <f t="shared" ca="1" si="0"/>
        <v>-0.53114305391058447</v>
      </c>
    </row>
    <row r="31" spans="1:4" x14ac:dyDescent="0.3">
      <c r="A31">
        <v>25</v>
      </c>
      <c r="B31">
        <f t="shared" ca="1" si="1"/>
        <v>104.63095582217647</v>
      </c>
      <c r="C31">
        <f t="shared" ca="1" si="2"/>
        <v>104.66545536965197</v>
      </c>
      <c r="D31">
        <f t="shared" ca="1" si="0"/>
        <v>0.6467947308136327</v>
      </c>
    </row>
    <row r="32" spans="1:4" x14ac:dyDescent="0.3">
      <c r="A32">
        <v>26</v>
      </c>
      <c r="B32">
        <f t="shared" ca="1" si="1"/>
        <v>105.39429268999395</v>
      </c>
      <c r="C32">
        <f t="shared" ca="1" si="2"/>
        <v>105.42709177607567</v>
      </c>
      <c r="D32">
        <f t="shared" ca="1" si="0"/>
        <v>0.73528400309938136</v>
      </c>
    </row>
    <row r="33" spans="1:4" x14ac:dyDescent="0.3">
      <c r="A33">
        <v>27</v>
      </c>
      <c r="B33">
        <f t="shared" ca="1" si="1"/>
        <v>105.62178932395491</v>
      </c>
      <c r="C33">
        <f t="shared" ca="1" si="2"/>
        <v>105.65015062632135</v>
      </c>
      <c r="D33">
        <f t="shared" ca="1" si="0"/>
        <v>0.19379796956371814</v>
      </c>
    </row>
    <row r="34" spans="1:4" x14ac:dyDescent="0.3">
      <c r="A34">
        <v>28</v>
      </c>
      <c r="B34">
        <f t="shared" ca="1" si="1"/>
        <v>108.07573514579553</v>
      </c>
      <c r="C34">
        <f t="shared" ca="1" si="2"/>
        <v>108.12862591447698</v>
      </c>
      <c r="D34">
        <f t="shared" ca="1" si="0"/>
        <v>2.4152769880524385</v>
      </c>
    </row>
    <row r="35" spans="1:4" x14ac:dyDescent="0.3">
      <c r="A35">
        <v>29</v>
      </c>
      <c r="B35">
        <f t="shared" ca="1" si="1"/>
        <v>108.3878408159909</v>
      </c>
      <c r="C35">
        <f t="shared" ca="1" si="2"/>
        <v>108.43645588540153</v>
      </c>
      <c r="D35">
        <f t="shared" ca="1" si="0"/>
        <v>0.27067433553956755</v>
      </c>
    </row>
    <row r="36" spans="1:4" x14ac:dyDescent="0.3">
      <c r="A36">
        <v>30</v>
      </c>
      <c r="B36">
        <f t="shared" ca="1" si="1"/>
        <v>107.89800673970375</v>
      </c>
      <c r="C36">
        <f t="shared" ca="1" si="2"/>
        <v>107.94265025265312</v>
      </c>
      <c r="D36">
        <f t="shared" ca="1" si="0"/>
        <v>-0.51010400163945346</v>
      </c>
    </row>
    <row r="37" spans="1:4" x14ac:dyDescent="0.3">
      <c r="A37">
        <v>31</v>
      </c>
      <c r="B37">
        <f t="shared" ca="1" si="1"/>
        <v>107.08838488974831</v>
      </c>
      <c r="C37">
        <f t="shared" ca="1" si="2"/>
        <v>107.13090362073351</v>
      </c>
      <c r="D37">
        <f t="shared" ca="1" si="0"/>
        <v>-0.82467825432920905</v>
      </c>
    </row>
    <row r="38" spans="1:4" x14ac:dyDescent="0.3">
      <c r="A38">
        <v>32</v>
      </c>
      <c r="B38">
        <f t="shared" ca="1" si="1"/>
        <v>106.86761879453483</v>
      </c>
      <c r="C38">
        <f t="shared" ca="1" si="2"/>
        <v>106.90546650971672</v>
      </c>
      <c r="D38">
        <f t="shared" ca="1" si="0"/>
        <v>-0.251035478202011</v>
      </c>
    </row>
    <row r="39" spans="1:4" x14ac:dyDescent="0.3">
      <c r="A39">
        <v>33</v>
      </c>
      <c r="B39">
        <f t="shared" ca="1" si="1"/>
        <v>107.14317380013722</v>
      </c>
      <c r="C39">
        <f t="shared" ca="1" si="2"/>
        <v>107.17665173338088</v>
      </c>
      <c r="D39">
        <f t="shared" ca="1" si="0"/>
        <v>0.23806369670262809</v>
      </c>
    </row>
    <row r="40" spans="1:4" x14ac:dyDescent="0.3">
      <c r="A40">
        <v>34</v>
      </c>
      <c r="B40">
        <f t="shared" ca="1" si="1"/>
        <v>106.60574057283065</v>
      </c>
      <c r="C40">
        <f t="shared" ca="1" si="2"/>
        <v>106.63559792974931</v>
      </c>
      <c r="D40">
        <f t="shared" ca="1" si="0"/>
        <v>-0.56246680437137009</v>
      </c>
    </row>
    <row r="41" spans="1:4" x14ac:dyDescent="0.3">
      <c r="A41">
        <v>35</v>
      </c>
      <c r="B41">
        <f t="shared" ca="1" si="1"/>
        <v>106.69761573091006</v>
      </c>
      <c r="C41">
        <f t="shared" ca="1" si="2"/>
        <v>106.72273580085917</v>
      </c>
      <c r="D41">
        <f t="shared" ca="1" si="0"/>
        <v>5.7113039236118449E-2</v>
      </c>
    </row>
    <row r="42" spans="1:4" x14ac:dyDescent="0.3">
      <c r="A42">
        <v>36</v>
      </c>
      <c r="B42">
        <f t="shared" ca="1" si="1"/>
        <v>107.08092139602121</v>
      </c>
      <c r="C42">
        <f t="shared" ca="1" si="2"/>
        <v>107.10200150040056</v>
      </c>
      <c r="D42">
        <f t="shared" ca="1" si="0"/>
        <v>0.34494633534062769</v>
      </c>
    </row>
    <row r="43" spans="1:4" x14ac:dyDescent="0.3">
      <c r="A43">
        <v>37</v>
      </c>
      <c r="B43">
        <f t="shared" ca="1" si="1"/>
        <v>106.63433164794404</v>
      </c>
      <c r="C43">
        <f t="shared" ca="1" si="2"/>
        <v>106.65145457191102</v>
      </c>
      <c r="D43">
        <f t="shared" ca="1" si="0"/>
        <v>-0.4733488896559222</v>
      </c>
    </row>
    <row r="44" spans="1:4" x14ac:dyDescent="0.3">
      <c r="A44">
        <v>38</v>
      </c>
      <c r="B44">
        <f t="shared" ca="1" si="1"/>
        <v>108.50777355708725</v>
      </c>
      <c r="C44">
        <f t="shared" ca="1" si="2"/>
        <v>108.53686960646627</v>
      </c>
      <c r="D44">
        <f t="shared" ca="1" si="0"/>
        <v>1.8181877732026932</v>
      </c>
    </row>
    <row r="45" spans="1:4" x14ac:dyDescent="0.3">
      <c r="A45">
        <v>39</v>
      </c>
      <c r="B45">
        <f t="shared" ca="1" si="1"/>
        <v>107.99989874622928</v>
      </c>
      <c r="C45">
        <f t="shared" ca="1" si="2"/>
        <v>108.02518439756322</v>
      </c>
      <c r="D45">
        <f t="shared" ca="1" si="0"/>
        <v>-0.52710303877704301</v>
      </c>
    </row>
    <row r="46" spans="1:4" x14ac:dyDescent="0.3">
      <c r="A46">
        <v>40</v>
      </c>
      <c r="B46">
        <f t="shared" ca="1" si="1"/>
        <v>108.29622319888043</v>
      </c>
      <c r="C46">
        <f t="shared" ca="1" si="2"/>
        <v>108.31711083505074</v>
      </c>
      <c r="D46">
        <f t="shared" ca="1" si="0"/>
        <v>0.25548541955938198</v>
      </c>
    </row>
    <row r="47" spans="1:4" x14ac:dyDescent="0.3">
      <c r="A47">
        <v>41</v>
      </c>
      <c r="B47">
        <f t="shared" ca="1" si="1"/>
        <v>108.53537339117815</v>
      </c>
      <c r="C47">
        <f t="shared" ca="1" si="2"/>
        <v>108.55168652038023</v>
      </c>
      <c r="D47">
        <f t="shared" ca="1" si="0"/>
        <v>0.19904394899155059</v>
      </c>
    </row>
    <row r="48" spans="1:4" x14ac:dyDescent="0.3">
      <c r="A48">
        <v>42</v>
      </c>
      <c r="B48">
        <f t="shared" ca="1" si="1"/>
        <v>109.81941988540255</v>
      </c>
      <c r="C48">
        <f t="shared" ca="1" si="2"/>
        <v>109.83860991673863</v>
      </c>
      <c r="D48">
        <f t="shared" ca="1" si="0"/>
        <v>1.2133314525788306</v>
      </c>
    </row>
    <row r="49" spans="1:4" x14ac:dyDescent="0.3">
      <c r="A49">
        <v>43</v>
      </c>
      <c r="B49">
        <f t="shared" ca="1" si="1"/>
        <v>108.4177782462953</v>
      </c>
      <c r="C49">
        <f t="shared" ca="1" si="2"/>
        <v>108.44075171283912</v>
      </c>
      <c r="D49">
        <f t="shared" ca="1" si="0"/>
        <v>-1.3790850127909702</v>
      </c>
    </row>
    <row r="50" spans="1:4" x14ac:dyDescent="0.3">
      <c r="A50">
        <v>44</v>
      </c>
      <c r="B50">
        <f t="shared" ca="1" si="1"/>
        <v>107.78279407172167</v>
      </c>
      <c r="C50">
        <f t="shared" ca="1" si="2"/>
        <v>107.80263802333714</v>
      </c>
      <c r="D50">
        <f t="shared" ca="1" si="0"/>
        <v>-0.65109473798663264</v>
      </c>
    </row>
    <row r="51" spans="1:4" x14ac:dyDescent="0.3">
      <c r="A51">
        <v>45</v>
      </c>
      <c r="B51">
        <f t="shared" ca="1" si="1"/>
        <v>107.35381915488449</v>
      </c>
      <c r="C51">
        <f t="shared" ca="1" si="2"/>
        <v>107.36960507119159</v>
      </c>
      <c r="D51">
        <f t="shared" ca="1" si="0"/>
        <v>-0.4532592076806819</v>
      </c>
    </row>
    <row r="52" spans="1:4" x14ac:dyDescent="0.3">
      <c r="A52">
        <v>46</v>
      </c>
      <c r="B52">
        <f t="shared" ca="1" si="1"/>
        <v>109.54740822171163</v>
      </c>
      <c r="C52">
        <f t="shared" ca="1" si="2"/>
        <v>109.58115327156329</v>
      </c>
      <c r="D52">
        <f t="shared" ca="1" si="0"/>
        <v>2.1201243167917179</v>
      </c>
    </row>
    <row r="53" spans="1:4" x14ac:dyDescent="0.3">
      <c r="A53">
        <v>47</v>
      </c>
      <c r="B53">
        <f t="shared" ca="1" si="1"/>
        <v>107.8437695593139</v>
      </c>
      <c r="C53">
        <f t="shared" ca="1" si="2"/>
        <v>107.88531768768395</v>
      </c>
      <c r="D53">
        <f t="shared" ca="1" si="0"/>
        <v>-1.673014680831574</v>
      </c>
    </row>
    <row r="54" spans="1:4" x14ac:dyDescent="0.3">
      <c r="A54">
        <v>48</v>
      </c>
      <c r="B54">
        <f t="shared" ca="1" si="1"/>
        <v>105.49254900231041</v>
      </c>
      <c r="C54">
        <f t="shared" ca="1" si="2"/>
        <v>105.55389657973645</v>
      </c>
      <c r="D54">
        <f t="shared" ca="1" si="0"/>
        <v>-2.331873998289248</v>
      </c>
    </row>
    <row r="55" spans="1:4" x14ac:dyDescent="0.3">
      <c r="A55">
        <v>49</v>
      </c>
      <c r="B55">
        <f t="shared" ca="1" si="1"/>
        <v>106.06096207774257</v>
      </c>
      <c r="C55">
        <f t="shared" ca="1" si="2"/>
        <v>106.1193997295248</v>
      </c>
      <c r="D55">
        <f t="shared" ca="1" si="0"/>
        <v>0.53423331228885251</v>
      </c>
    </row>
    <row r="56" spans="1:4" x14ac:dyDescent="0.3">
      <c r="A56">
        <v>50</v>
      </c>
      <c r="B56">
        <f t="shared" ca="1" si="1"/>
        <v>105.92313968298336</v>
      </c>
      <c r="C56">
        <f t="shared" ca="1" si="2"/>
        <v>105.97682189101445</v>
      </c>
      <c r="D56">
        <f t="shared" ca="1" si="0"/>
        <v>-0.1707064870667</v>
      </c>
    </row>
    <row r="57" spans="1:4" x14ac:dyDescent="0.3">
      <c r="A57">
        <v>51</v>
      </c>
      <c r="B57">
        <f t="shared" ca="1" si="1"/>
        <v>104.93314541556813</v>
      </c>
      <c r="C57">
        <f t="shared" ca="1" si="2"/>
        <v>104.98621577704451</v>
      </c>
      <c r="D57">
        <f t="shared" ca="1" si="0"/>
        <v>-1.0189222884609372</v>
      </c>
    </row>
    <row r="58" spans="1:4" x14ac:dyDescent="0.3">
      <c r="A58">
        <v>52</v>
      </c>
      <c r="B58">
        <f t="shared" ca="1" si="1"/>
        <v>103.81684300566316</v>
      </c>
      <c r="C58">
        <f t="shared" ca="1" si="2"/>
        <v>103.87059424150891</v>
      </c>
      <c r="D58">
        <f t="shared" ca="1" si="0"/>
        <v>-1.1550983360986105</v>
      </c>
    </row>
    <row r="59" spans="1:4" x14ac:dyDescent="0.3">
      <c r="A59">
        <v>53</v>
      </c>
      <c r="B59">
        <f t="shared" ca="1" si="1"/>
        <v>101.67741333629947</v>
      </c>
      <c r="C59">
        <f t="shared" ca="1" si="2"/>
        <v>101.74738322647028</v>
      </c>
      <c r="D59">
        <f t="shared" ca="1" si="0"/>
        <v>-2.2059766375413625</v>
      </c>
    </row>
    <row r="60" spans="1:4" x14ac:dyDescent="0.3">
      <c r="A60">
        <v>54</v>
      </c>
      <c r="B60">
        <f t="shared" ca="1" si="1"/>
        <v>102.8250911390015</v>
      </c>
      <c r="C60">
        <f t="shared" ca="1" si="2"/>
        <v>102.89772639432111</v>
      </c>
      <c r="D60">
        <f t="shared" ca="1" si="0"/>
        <v>1.1560697873696832</v>
      </c>
    </row>
    <row r="61" spans="1:4" x14ac:dyDescent="0.3">
      <c r="A61">
        <v>55</v>
      </c>
      <c r="B61">
        <f t="shared" ca="1" si="1"/>
        <v>101.80318972544889</v>
      </c>
      <c r="C61">
        <f t="shared" ca="1" si="2"/>
        <v>101.87558335960638</v>
      </c>
      <c r="D61">
        <f t="shared" ca="1" si="0"/>
        <v>-1.0813144439033202</v>
      </c>
    </row>
    <row r="62" spans="1:4" x14ac:dyDescent="0.3">
      <c r="A62">
        <v>56</v>
      </c>
      <c r="B62">
        <f t="shared" ca="1" si="1"/>
        <v>102.30170373791063</v>
      </c>
      <c r="C62">
        <f t="shared" ca="1" si="2"/>
        <v>102.37106850645105</v>
      </c>
      <c r="D62">
        <f t="shared" ca="1" si="0"/>
        <v>0.48244137995721287</v>
      </c>
    </row>
    <row r="63" spans="1:4" x14ac:dyDescent="0.3">
      <c r="A63">
        <v>57</v>
      </c>
      <c r="B63">
        <f t="shared" ca="1" si="1"/>
        <v>100.71296294466845</v>
      </c>
      <c r="C63">
        <f t="shared" ca="1" si="2"/>
        <v>100.78899611744495</v>
      </c>
      <c r="D63">
        <f t="shared" ca="1" si="0"/>
        <v>-1.6707318895845602</v>
      </c>
    </row>
    <row r="64" spans="1:4" x14ac:dyDescent="0.3">
      <c r="A64">
        <v>58</v>
      </c>
      <c r="B64">
        <f t="shared" ca="1" si="1"/>
        <v>100.70610728039078</v>
      </c>
      <c r="C64">
        <f t="shared" ca="1" si="2"/>
        <v>100.77760041693918</v>
      </c>
      <c r="D64">
        <f t="shared" ca="1" si="0"/>
        <v>-4.0906308806143411E-2</v>
      </c>
    </row>
    <row r="65" spans="1:4" x14ac:dyDescent="0.3">
      <c r="A65">
        <v>59</v>
      </c>
      <c r="B65">
        <f t="shared" ca="1" si="1"/>
        <v>101.80809564149631</v>
      </c>
      <c r="C65">
        <f t="shared" ca="1" si="2"/>
        <v>101.88184198074342</v>
      </c>
      <c r="D65">
        <f t="shared" ca="1" si="0"/>
        <v>1.1197221472762851</v>
      </c>
    </row>
    <row r="66" spans="1:4" x14ac:dyDescent="0.3">
      <c r="A66">
        <v>60</v>
      </c>
      <c r="B66">
        <f t="shared" ca="1" si="1"/>
        <v>102.41072882851708</v>
      </c>
      <c r="C66">
        <f t="shared" ca="1" si="2"/>
        <v>102.48208830091328</v>
      </c>
      <c r="D66">
        <f t="shared" ca="1" si="0"/>
        <v>0.59021858853242826</v>
      </c>
    </row>
    <row r="67" spans="1:4" x14ac:dyDescent="0.3">
      <c r="A67">
        <v>61</v>
      </c>
      <c r="B67">
        <f t="shared" ca="1" si="1"/>
        <v>102.5307111176099</v>
      </c>
      <c r="C67">
        <f t="shared" ca="1" si="2"/>
        <v>102.59760755789604</v>
      </c>
      <c r="D67">
        <f t="shared" ca="1" si="0"/>
        <v>8.9764338948096434E-2</v>
      </c>
    </row>
    <row r="68" spans="1:4" x14ac:dyDescent="0.3">
      <c r="A68">
        <v>62</v>
      </c>
      <c r="B68">
        <f t="shared" ca="1" si="1"/>
        <v>103.59140069869166</v>
      </c>
      <c r="C68">
        <f t="shared" ca="1" si="2"/>
        <v>103.65983341705228</v>
      </c>
      <c r="D68">
        <f t="shared" ca="1" si="0"/>
        <v>1.0567374225335615</v>
      </c>
    </row>
    <row r="69" spans="1:4" x14ac:dyDescent="0.3">
      <c r="A69">
        <v>63</v>
      </c>
      <c r="B69">
        <f t="shared" ca="1" si="1"/>
        <v>103.07040735068759</v>
      </c>
      <c r="C69">
        <f t="shared" ca="1" si="2"/>
        <v>103.13516350203248</v>
      </c>
      <c r="D69">
        <f t="shared" ca="1" si="0"/>
        <v>-0.56386686564694521</v>
      </c>
    </row>
    <row r="70" spans="1:4" x14ac:dyDescent="0.3">
      <c r="A70">
        <v>64</v>
      </c>
      <c r="B70">
        <f t="shared" ca="1" si="1"/>
        <v>103.18039415746892</v>
      </c>
      <c r="C70">
        <f t="shared" ca="1" si="2"/>
        <v>103.24063221877869</v>
      </c>
      <c r="D70">
        <f t="shared" ca="1" si="0"/>
        <v>7.875163827274792E-2</v>
      </c>
    </row>
    <row r="71" spans="1:4" x14ac:dyDescent="0.3">
      <c r="A71">
        <v>65</v>
      </c>
      <c r="B71">
        <f t="shared" ca="1" si="1"/>
        <v>102.84363272651845</v>
      </c>
      <c r="C71">
        <f t="shared" ca="1" si="2"/>
        <v>102.89959288236753</v>
      </c>
      <c r="D71">
        <f t="shared" ref="D71:D106" ca="1" si="3">_xlfn.NORM.INV(RAND(),0,1)</f>
        <v>-0.37776697701185036</v>
      </c>
    </row>
    <row r="72" spans="1:4" x14ac:dyDescent="0.3">
      <c r="A72">
        <v>66</v>
      </c>
      <c r="B72">
        <f t="shared" ref="B72:B108" ca="1" si="4">B71*(1+$B$1*$B$3+$B$2*SQRT($B$3)*D72)</f>
        <v>104.00833080242572</v>
      </c>
      <c r="C72">
        <f t="shared" ref="C72:C107" ca="1" si="5">C71*EXP(($B$1-0.5*$B$2^2)*$B$3+$B$2*SQRT($B$3)*D72)</f>
        <v>104.06686522700012</v>
      </c>
      <c r="D72">
        <f t="shared" ca="1" si="3"/>
        <v>1.160022638988977</v>
      </c>
    </row>
    <row r="73" spans="1:4" x14ac:dyDescent="0.3">
      <c r="A73">
        <v>67</v>
      </c>
      <c r="B73">
        <f t="shared" ca="1" si="4"/>
        <v>104.75321936816296</v>
      </c>
      <c r="C73">
        <f t="shared" ca="1" si="5"/>
        <v>104.81013170497539</v>
      </c>
      <c r="D73">
        <f t="shared" ca="1" si="3"/>
        <v>0.72119076830188522</v>
      </c>
    </row>
    <row r="74" spans="1:4" x14ac:dyDescent="0.3">
      <c r="A74">
        <v>68</v>
      </c>
      <c r="B74">
        <f t="shared" ca="1" si="4"/>
        <v>105.79243317578458</v>
      </c>
      <c r="C74">
        <f t="shared" ca="1" si="5"/>
        <v>105.85032145083186</v>
      </c>
      <c r="D74">
        <f t="shared" ca="1" si="3"/>
        <v>1.011991110224697</v>
      </c>
    </row>
    <row r="75" spans="1:4" x14ac:dyDescent="0.3">
      <c r="A75">
        <v>69</v>
      </c>
      <c r="B75">
        <f t="shared" ca="1" si="4"/>
        <v>105.40671718544431</v>
      </c>
      <c r="C75">
        <f t="shared" ca="1" si="5"/>
        <v>105.46035126390319</v>
      </c>
      <c r="D75">
        <f t="shared" ca="1" si="3"/>
        <v>-0.41804989732208692</v>
      </c>
    </row>
    <row r="76" spans="1:4" x14ac:dyDescent="0.3">
      <c r="A76">
        <v>70</v>
      </c>
      <c r="B76">
        <f t="shared" ca="1" si="4"/>
        <v>105.379532076403</v>
      </c>
      <c r="C76">
        <f t="shared" ca="1" si="5"/>
        <v>105.42841144409999</v>
      </c>
      <c r="D76">
        <f t="shared" ca="1" si="3"/>
        <v>-6.0916725356833734E-2</v>
      </c>
    </row>
    <row r="77" spans="1:4" x14ac:dyDescent="0.3">
      <c r="A77">
        <v>71</v>
      </c>
      <c r="B77">
        <f t="shared" ca="1" si="4"/>
        <v>105.47336882921964</v>
      </c>
      <c r="C77">
        <f t="shared" ca="1" si="5"/>
        <v>105.51758513504468</v>
      </c>
      <c r="D77">
        <f t="shared" ca="1" si="3"/>
        <v>6.0132258624062018E-2</v>
      </c>
    </row>
    <row r="78" spans="1:4" x14ac:dyDescent="0.3">
      <c r="A78">
        <v>72</v>
      </c>
      <c r="B78">
        <f t="shared" ca="1" si="4"/>
        <v>105.43853273399118</v>
      </c>
      <c r="C78">
        <f t="shared" ca="1" si="5"/>
        <v>105.47799357406757</v>
      </c>
      <c r="D78">
        <f t="shared" ca="1" si="3"/>
        <v>-6.8545881320017849E-2</v>
      </c>
    </row>
    <row r="79" spans="1:4" x14ac:dyDescent="0.3">
      <c r="A79">
        <v>73</v>
      </c>
      <c r="B79">
        <f t="shared" ca="1" si="4"/>
        <v>102.74056329941565</v>
      </c>
      <c r="C79">
        <f t="shared" ca="1" si="5"/>
        <v>102.8086261137518</v>
      </c>
      <c r="D79">
        <f t="shared" ca="1" si="3"/>
        <v>-2.7309512440062873</v>
      </c>
    </row>
    <row r="80" spans="1:4" x14ac:dyDescent="0.3">
      <c r="A80">
        <v>74</v>
      </c>
      <c r="B80">
        <f t="shared" ca="1" si="4"/>
        <v>102.67412900978361</v>
      </c>
      <c r="C80">
        <f t="shared" ca="1" si="5"/>
        <v>102.73754600815325</v>
      </c>
      <c r="D80">
        <f t="shared" ca="1" si="3"/>
        <v>-0.10189088583384034</v>
      </c>
    </row>
    <row r="81" spans="1:4" x14ac:dyDescent="0.3">
      <c r="A81">
        <v>75</v>
      </c>
      <c r="B81">
        <f t="shared" ca="1" si="4"/>
        <v>103.68597624896303</v>
      </c>
      <c r="C81">
        <f t="shared" ca="1" si="5"/>
        <v>103.75035470166496</v>
      </c>
      <c r="D81">
        <f t="shared" ca="1" si="3"/>
        <v>1.0050707795608231</v>
      </c>
    </row>
    <row r="82" spans="1:4" x14ac:dyDescent="0.3">
      <c r="A82">
        <v>76</v>
      </c>
      <c r="B82">
        <f t="shared" ca="1" si="4"/>
        <v>104.10769449310084</v>
      </c>
      <c r="C82">
        <f t="shared" ca="1" si="5"/>
        <v>104.16850641855856</v>
      </c>
      <c r="D82">
        <f t="shared" ca="1" si="3"/>
        <v>0.39499631352763515</v>
      </c>
    </row>
    <row r="83" spans="1:4" x14ac:dyDescent="0.3">
      <c r="A83">
        <v>77</v>
      </c>
      <c r="B83">
        <f t="shared" ca="1" si="4"/>
        <v>105.22448363974033</v>
      </c>
      <c r="C83">
        <f t="shared" ca="1" si="5"/>
        <v>105.28722490359404</v>
      </c>
      <c r="D83">
        <f t="shared" ca="1" si="3"/>
        <v>1.0970203520254755</v>
      </c>
    </row>
    <row r="84" spans="1:4" x14ac:dyDescent="0.3">
      <c r="A84">
        <v>78</v>
      </c>
      <c r="B84">
        <f t="shared" ca="1" si="4"/>
        <v>104.72496780254268</v>
      </c>
      <c r="C84">
        <f t="shared" ca="1" si="5"/>
        <v>104.78388031271226</v>
      </c>
      <c r="D84">
        <f t="shared" ca="1" si="3"/>
        <v>-0.5341239368765508</v>
      </c>
    </row>
    <row r="85" spans="1:4" x14ac:dyDescent="0.3">
      <c r="A85">
        <v>79</v>
      </c>
      <c r="B85">
        <f t="shared" ca="1" si="4"/>
        <v>106.00712106647747</v>
      </c>
      <c r="C85">
        <f t="shared" ca="1" si="5"/>
        <v>106.06986689140008</v>
      </c>
      <c r="D85">
        <f t="shared" ca="1" si="3"/>
        <v>1.2568000703620352</v>
      </c>
    </row>
    <row r="86" spans="1:4" x14ac:dyDescent="0.3">
      <c r="A86">
        <v>80</v>
      </c>
      <c r="B86">
        <f t="shared" ca="1" si="4"/>
        <v>107.08495929322847</v>
      </c>
      <c r="C86">
        <f t="shared" ca="1" si="5"/>
        <v>107.14902266616593</v>
      </c>
      <c r="D86">
        <f t="shared" ca="1" si="3"/>
        <v>1.0380284042158578</v>
      </c>
    </row>
    <row r="87" spans="1:4" x14ac:dyDescent="0.3">
      <c r="A87">
        <v>81</v>
      </c>
      <c r="B87">
        <f t="shared" ca="1" si="4"/>
        <v>106.76395060021925</v>
      </c>
      <c r="C87">
        <f t="shared" ca="1" si="5"/>
        <v>106.82349571603594</v>
      </c>
      <c r="D87">
        <f t="shared" ca="1" si="3"/>
        <v>-0.34971639524423342</v>
      </c>
    </row>
    <row r="88" spans="1:4" x14ac:dyDescent="0.3">
      <c r="A88">
        <v>82</v>
      </c>
      <c r="B88">
        <f t="shared" ca="1" si="4"/>
        <v>105.70868702682529</v>
      </c>
      <c r="C88">
        <f t="shared" ca="1" si="5"/>
        <v>105.76808483757436</v>
      </c>
      <c r="D88">
        <f t="shared" ca="1" si="3"/>
        <v>-1.0756046169302957</v>
      </c>
    </row>
    <row r="89" spans="1:4" x14ac:dyDescent="0.3">
      <c r="A89">
        <v>83</v>
      </c>
      <c r="B89">
        <f t="shared" ca="1" si="4"/>
        <v>106.55185915645389</v>
      </c>
      <c r="C89">
        <f t="shared" ca="1" si="5"/>
        <v>106.61030675642617</v>
      </c>
      <c r="D89">
        <f t="shared" ca="1" si="3"/>
        <v>0.80705278848748474</v>
      </c>
    </row>
    <row r="90" spans="1:4" x14ac:dyDescent="0.3">
      <c r="A90">
        <v>84</v>
      </c>
      <c r="B90">
        <f t="shared" ca="1" si="4"/>
        <v>107.27047755169009</v>
      </c>
      <c r="C90">
        <f t="shared" ca="1" si="5"/>
        <v>107.32691960075329</v>
      </c>
      <c r="D90">
        <f t="shared" ca="1" si="3"/>
        <v>0.67718136318575439</v>
      </c>
    </row>
    <row r="91" spans="1:4" x14ac:dyDescent="0.3">
      <c r="A91">
        <v>85</v>
      </c>
      <c r="B91">
        <f t="shared" ca="1" si="4"/>
        <v>107.923339276188</v>
      </c>
      <c r="C91">
        <f t="shared" ca="1" si="5"/>
        <v>107.97725753643877</v>
      </c>
      <c r="D91">
        <f t="shared" ca="1" si="3"/>
        <v>0.6078031284652663</v>
      </c>
    </row>
    <row r="92" spans="1:4" x14ac:dyDescent="0.3">
      <c r="A92">
        <v>86</v>
      </c>
      <c r="B92">
        <f t="shared" ca="1" si="4"/>
        <v>109.16169265496686</v>
      </c>
      <c r="C92">
        <f t="shared" ca="1" si="5"/>
        <v>109.21845013654604</v>
      </c>
      <c r="D92">
        <f t="shared" ca="1" si="3"/>
        <v>1.1757748632502543</v>
      </c>
    </row>
    <row r="93" spans="1:4" x14ac:dyDescent="0.3">
      <c r="A93">
        <v>87</v>
      </c>
      <c r="B93">
        <f t="shared" ca="1" si="4"/>
        <v>109.53774172897114</v>
      </c>
      <c r="C93">
        <f t="shared" ca="1" si="5"/>
        <v>109.59041185763363</v>
      </c>
      <c r="D93">
        <f t="shared" ca="1" si="3"/>
        <v>0.3293914111460754</v>
      </c>
    </row>
    <row r="94" spans="1:4" x14ac:dyDescent="0.3">
      <c r="A94">
        <v>88</v>
      </c>
      <c r="B94">
        <f t="shared" ca="1" si="4"/>
        <v>109.72233201298862</v>
      </c>
      <c r="C94">
        <f t="shared" ca="1" si="5"/>
        <v>109.77030682080928</v>
      </c>
      <c r="D94">
        <f t="shared" ca="1" si="3"/>
        <v>0.1439020994991361</v>
      </c>
    </row>
    <row r="95" spans="1:4" x14ac:dyDescent="0.3">
      <c r="A95">
        <v>89</v>
      </c>
      <c r="B95">
        <f t="shared" ca="1" si="4"/>
        <v>107.33275400913145</v>
      </c>
      <c r="C95">
        <f t="shared" ca="1" si="5"/>
        <v>107.40069489064307</v>
      </c>
      <c r="D95">
        <f t="shared" ca="1" si="3"/>
        <v>-2.3293770106011729</v>
      </c>
    </row>
    <row r="96" spans="1:4" x14ac:dyDescent="0.3">
      <c r="A96">
        <v>90</v>
      </c>
      <c r="B96">
        <f t="shared" ca="1" si="4"/>
        <v>107.47130966865788</v>
      </c>
      <c r="C96">
        <f t="shared" ca="1" si="5"/>
        <v>107.53458861531722</v>
      </c>
      <c r="D96">
        <f t="shared" ca="1" si="3"/>
        <v>0.10234165683662398</v>
      </c>
    </row>
    <row r="97" spans="1:4" x14ac:dyDescent="0.3">
      <c r="A97">
        <v>91</v>
      </c>
      <c r="B97">
        <f t="shared" ca="1" si="4"/>
        <v>108.18213590582086</v>
      </c>
      <c r="C97">
        <f t="shared" ca="1" si="5"/>
        <v>108.24331964407719</v>
      </c>
      <c r="D97">
        <f t="shared" ca="1" si="3"/>
        <v>0.66345663715622305</v>
      </c>
    </row>
    <row r="98" spans="1:4" x14ac:dyDescent="0.3">
      <c r="A98">
        <v>92</v>
      </c>
      <c r="B98">
        <f t="shared" ca="1" si="4"/>
        <v>107.49783315141464</v>
      </c>
      <c r="C98">
        <f t="shared" ca="1" si="5"/>
        <v>107.55595068041977</v>
      </c>
      <c r="D98">
        <f t="shared" ca="1" si="3"/>
        <v>-0.70049394585904612</v>
      </c>
    </row>
    <row r="99" spans="1:4" x14ac:dyDescent="0.3">
      <c r="A99">
        <v>93</v>
      </c>
      <c r="B99">
        <f t="shared" ca="1" si="4"/>
        <v>106.79461883527378</v>
      </c>
      <c r="C99">
        <f t="shared" ca="1" si="5"/>
        <v>106.84984415610968</v>
      </c>
      <c r="D99">
        <f t="shared" ca="1" si="3"/>
        <v>-0.72328251112143804</v>
      </c>
    </row>
    <row r="100" spans="1:4" x14ac:dyDescent="0.3">
      <c r="A100">
        <v>94</v>
      </c>
      <c r="B100">
        <f t="shared" ca="1" si="4"/>
        <v>107.67196436094899</v>
      </c>
      <c r="C100">
        <f t="shared" ca="1" si="5"/>
        <v>107.72641114297397</v>
      </c>
      <c r="D100">
        <f t="shared" ca="1" si="3"/>
        <v>0.83223344309947478</v>
      </c>
    </row>
    <row r="101" spans="1:4" x14ac:dyDescent="0.3">
      <c r="A101">
        <v>95</v>
      </c>
      <c r="B101">
        <f t="shared" ca="1" si="4"/>
        <v>108.09495496148698</v>
      </c>
      <c r="C101">
        <f t="shared" ca="1" si="5"/>
        <v>108.14558134928632</v>
      </c>
      <c r="D101">
        <f t="shared" ca="1" si="3"/>
        <v>0.38037055935799774</v>
      </c>
    </row>
    <row r="102" spans="1:4" x14ac:dyDescent="0.3">
      <c r="A102">
        <v>96</v>
      </c>
      <c r="B102">
        <f t="shared" ca="1" si="4"/>
        <v>108.74937945868329</v>
      </c>
      <c r="C102">
        <f t="shared" ca="1" si="5"/>
        <v>108.79740228347799</v>
      </c>
      <c r="D102">
        <f t="shared" ca="1" si="3"/>
        <v>0.60443387169754081</v>
      </c>
    </row>
    <row r="103" spans="1:4" x14ac:dyDescent="0.3">
      <c r="A103">
        <v>97</v>
      </c>
      <c r="B103">
        <f t="shared" ca="1" si="4"/>
        <v>109.07100727122412</v>
      </c>
      <c r="C103">
        <f t="shared" ca="1" si="5"/>
        <v>109.11473813933166</v>
      </c>
      <c r="D103">
        <f t="shared" ca="1" si="3"/>
        <v>0.27801838697726161</v>
      </c>
    </row>
    <row r="104" spans="1:4" x14ac:dyDescent="0.3">
      <c r="A104">
        <v>98</v>
      </c>
      <c r="B104">
        <f t="shared" ca="1" si="4"/>
        <v>108.41391735756395</v>
      </c>
      <c r="C104">
        <f t="shared" ca="1" si="5"/>
        <v>108.4544803281305</v>
      </c>
      <c r="D104">
        <f t="shared" ca="1" si="3"/>
        <v>-0.66876093183990737</v>
      </c>
    </row>
    <row r="105" spans="1:4" x14ac:dyDescent="0.3">
      <c r="A105">
        <v>99</v>
      </c>
      <c r="B105">
        <f t="shared" ca="1" si="4"/>
        <v>107.6895584923454</v>
      </c>
      <c r="C105">
        <f t="shared" ca="1" si="5"/>
        <v>107.7274179975138</v>
      </c>
      <c r="D105">
        <f t="shared" ca="1" si="3"/>
        <v>-0.73801441942196655</v>
      </c>
    </row>
    <row r="106" spans="1:4" x14ac:dyDescent="0.3">
      <c r="A106">
        <v>100</v>
      </c>
      <c r="B106">
        <f t="shared" ca="1" si="4"/>
        <v>109.33032973475554</v>
      </c>
      <c r="C106">
        <f t="shared" ca="1" si="5"/>
        <v>109.37641165859797</v>
      </c>
      <c r="D106">
        <f t="shared" ca="1" si="3"/>
        <v>1.5722973038480526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CC219-CB64-4FC6-B557-49E47B4C442D}">
  <dimension ref="A1:E107"/>
  <sheetViews>
    <sheetView tabSelected="1" workbookViewId="0">
      <selection activeCell="L10" sqref="L10"/>
    </sheetView>
  </sheetViews>
  <sheetFormatPr defaultRowHeight="16.5" x14ac:dyDescent="0.3"/>
  <sheetData>
    <row r="1" spans="1:5" x14ac:dyDescent="0.3">
      <c r="A1" t="s">
        <v>0</v>
      </c>
      <c r="B1">
        <v>0.08</v>
      </c>
      <c r="D1" t="s">
        <v>15</v>
      </c>
    </row>
    <row r="2" spans="1:5" x14ac:dyDescent="0.3">
      <c r="A2" t="s">
        <v>1</v>
      </c>
      <c r="B2">
        <v>0.15</v>
      </c>
    </row>
    <row r="3" spans="1:5" x14ac:dyDescent="0.3">
      <c r="A3" t="s">
        <v>2</v>
      </c>
      <c r="B3">
        <f>1/250</f>
        <v>4.0000000000000001E-3</v>
      </c>
    </row>
    <row r="4" spans="1:5" x14ac:dyDescent="0.3">
      <c r="A4" t="s">
        <v>11</v>
      </c>
      <c r="B4">
        <v>0.5</v>
      </c>
    </row>
    <row r="6" spans="1:5" x14ac:dyDescent="0.3">
      <c r="A6" t="s">
        <v>5</v>
      </c>
      <c r="B6" t="s">
        <v>10</v>
      </c>
      <c r="C6" t="s">
        <v>12</v>
      </c>
      <c r="D6" t="s">
        <v>14</v>
      </c>
      <c r="E6" t="s">
        <v>13</v>
      </c>
    </row>
    <row r="7" spans="1:5" x14ac:dyDescent="0.3">
      <c r="A7">
        <v>0</v>
      </c>
      <c r="C7">
        <v>100</v>
      </c>
      <c r="D7">
        <v>0</v>
      </c>
      <c r="E7">
        <v>100</v>
      </c>
    </row>
    <row r="8" spans="1:5" x14ac:dyDescent="0.3">
      <c r="A8">
        <v>1</v>
      </c>
      <c r="B8">
        <f ca="1">_xlfn.NORM.INV(RAND(),0,1)</f>
        <v>-0.25406924480070964</v>
      </c>
      <c r="C8">
        <f ca="1">C7*(1+$B$1*$B$3+$B$2*SQRT($B$3)*B8)</f>
        <v>99.790968750909272</v>
      </c>
      <c r="D8">
        <f ca="1">(1-$B$4)*$B$1*$B$3+$B$4*D7+SQRT((1-$B$4^2)*$B$2^2*$B$3)*B8</f>
        <v>-1.9273918481847621E-3</v>
      </c>
      <c r="E8">
        <f ca="1">E7*(1+D8)</f>
        <v>99.807260815181522</v>
      </c>
    </row>
    <row r="9" spans="1:5" x14ac:dyDescent="0.3">
      <c r="A9">
        <v>2</v>
      </c>
      <c r="B9">
        <f t="shared" ref="B9:B72" ca="1" si="0">_xlfn.NORM.INV(RAND(),0,1)</f>
        <v>0.42084426749611864</v>
      </c>
      <c r="C9">
        <f t="shared" ref="C9:C72" ca="1" si="1">C8*(1+$B$1*$B$3+$B$2*SQRT($B$3)*B9)</f>
        <v>100.2213152356333</v>
      </c>
      <c r="D9">
        <f t="shared" ref="D9:D72" ca="1" si="2">(1-$B$4)*$B$1*$B$3+$B$4*D8+SQRT((1-$B$4^2)*$B$2^2*$B$3)*B9</f>
        <v>2.6538925534730544E-3</v>
      </c>
      <c r="E9">
        <f t="shared" ref="E9:E72" ca="1" si="3">E8*(1+D9)</f>
        <v>100.07213856144148</v>
      </c>
    </row>
    <row r="10" spans="1:5" x14ac:dyDescent="0.3">
      <c r="A10">
        <v>3</v>
      </c>
      <c r="B10">
        <f t="shared" ca="1" si="0"/>
        <v>0.34374308639304174</v>
      </c>
      <c r="C10">
        <f t="shared" ca="1" si="1"/>
        <v>100.58021109773199</v>
      </c>
      <c r="D10">
        <f t="shared" ca="1" si="2"/>
        <v>4.3110839127952685E-3</v>
      </c>
      <c r="E10">
        <f t="shared" ca="1" si="3"/>
        <v>100.50355794811273</v>
      </c>
    </row>
    <row r="11" spans="1:5" x14ac:dyDescent="0.3">
      <c r="A11">
        <v>4</v>
      </c>
      <c r="B11">
        <f t="shared" ca="1" si="0"/>
        <v>-0.80733998436603693</v>
      </c>
      <c r="C11">
        <f t="shared" ca="1" si="1"/>
        <v>99.842042911686008</v>
      </c>
      <c r="D11">
        <f t="shared" ca="1" si="2"/>
        <v>-4.317432858799564E-3</v>
      </c>
      <c r="E11">
        <f t="shared" ca="1" si="3"/>
        <v>100.06964058460127</v>
      </c>
    </row>
    <row r="12" spans="1:5" x14ac:dyDescent="0.3">
      <c r="A12">
        <v>5</v>
      </c>
      <c r="B12">
        <f t="shared" ca="1" si="0"/>
        <v>-0.43220472091270873</v>
      </c>
      <c r="C12">
        <f t="shared" ca="1" si="1"/>
        <v>99.464614629532576</v>
      </c>
      <c r="D12">
        <f t="shared" ca="1" si="2"/>
        <v>-5.5496405559615127E-3</v>
      </c>
      <c r="E12">
        <f t="shared" ca="1" si="3"/>
        <v>99.514290048792475</v>
      </c>
    </row>
    <row r="13" spans="1:5" x14ac:dyDescent="0.3">
      <c r="A13">
        <v>6</v>
      </c>
      <c r="B13">
        <f t="shared" ca="1" si="0"/>
        <v>1.1119076206049736</v>
      </c>
      <c r="C13">
        <f t="shared" ca="1" si="1"/>
        <v>100.54564399197443</v>
      </c>
      <c r="D13">
        <f t="shared" ca="1" si="2"/>
        <v>6.5204330070278444E-3</v>
      </c>
      <c r="E13">
        <f t="shared" ca="1" si="3"/>
        <v>100.16316631029757</v>
      </c>
    </row>
    <row r="14" spans="1:5" x14ac:dyDescent="0.3">
      <c r="A14">
        <v>7</v>
      </c>
      <c r="B14">
        <f t="shared" ca="1" si="0"/>
        <v>-0.97963464494777386</v>
      </c>
      <c r="C14">
        <f t="shared" ca="1" si="1"/>
        <v>99.643384558684062</v>
      </c>
      <c r="D14">
        <f t="shared" ca="1" si="2"/>
        <v>-4.6283033937579796E-3</v>
      </c>
      <c r="E14">
        <f t="shared" ca="1" si="3"/>
        <v>99.699580787734078</v>
      </c>
    </row>
    <row r="15" spans="1:5" x14ac:dyDescent="0.3">
      <c r="A15">
        <v>8</v>
      </c>
      <c r="B15">
        <f t="shared" ca="1" si="0"/>
        <v>1.0849302976097301</v>
      </c>
      <c r="C15">
        <f t="shared" ca="1" si="1"/>
        <v>100.7008552114718</v>
      </c>
      <c r="D15">
        <f t="shared" ca="1" si="2"/>
        <v>6.7594602629456463E-3</v>
      </c>
      <c r="E15">
        <f t="shared" ca="1" si="3"/>
        <v>100.37349614230111</v>
      </c>
    </row>
    <row r="16" spans="1:5" x14ac:dyDescent="0.3">
      <c r="A16">
        <v>9</v>
      </c>
      <c r="B16">
        <f t="shared" ca="1" si="0"/>
        <v>-0.23690184025483513</v>
      </c>
      <c r="C16">
        <f t="shared" ca="1" si="1"/>
        <v>100.50675953023492</v>
      </c>
      <c r="D16">
        <f t="shared" ca="1" si="2"/>
        <v>1.593382904141944E-3</v>
      </c>
      <c r="E16">
        <f t="shared" ca="1" si="3"/>
        <v>100.5334295550832</v>
      </c>
    </row>
    <row r="17" spans="1:5" x14ac:dyDescent="0.3">
      <c r="A17">
        <v>10</v>
      </c>
      <c r="B17">
        <f t="shared" ca="1" si="0"/>
        <v>1.5545303069470084</v>
      </c>
      <c r="C17">
        <f t="shared" ca="1" si="1"/>
        <v>102.02115210313228</v>
      </c>
      <c r="D17">
        <f t="shared" ca="1" si="2"/>
        <v>1.3728461183675567E-2</v>
      </c>
      <c r="E17">
        <f t="shared" ca="1" si="3"/>
        <v>101.91359884039196</v>
      </c>
    </row>
    <row r="18" spans="1:5" x14ac:dyDescent="0.3">
      <c r="A18">
        <v>11</v>
      </c>
      <c r="B18">
        <f t="shared" ca="1" si="0"/>
        <v>-1.4274958572273637</v>
      </c>
      <c r="C18">
        <f t="shared" ca="1" si="1"/>
        <v>100.6721861139076</v>
      </c>
      <c r="D18">
        <f t="shared" ca="1" si="2"/>
        <v>-4.7038446343912335E-3</v>
      </c>
      <c r="E18">
        <f t="shared" ca="1" si="3"/>
        <v>101.43421310531508</v>
      </c>
    </row>
    <row r="19" spans="1:5" x14ac:dyDescent="0.3">
      <c r="A19">
        <v>12</v>
      </c>
      <c r="B19">
        <f t="shared" ca="1" si="0"/>
        <v>0.7926778820780388</v>
      </c>
      <c r="C19">
        <f t="shared" ca="1" si="1"/>
        <v>101.46145632229998</v>
      </c>
      <c r="D19">
        <f t="shared" ca="1" si="2"/>
        <v>4.3205910355478116E-3</v>
      </c>
      <c r="E19">
        <f t="shared" ca="1" si="3"/>
        <v>101.87246885715574</v>
      </c>
    </row>
    <row r="20" spans="1:5" x14ac:dyDescent="0.3">
      <c r="A20">
        <v>13</v>
      </c>
      <c r="B20">
        <f t="shared" ca="1" si="0"/>
        <v>-0.29175246338030192</v>
      </c>
      <c r="C20">
        <f t="shared" ca="1" si="1"/>
        <v>101.2130982702683</v>
      </c>
      <c r="D20">
        <f t="shared" ca="1" si="2"/>
        <v>-7.6695563242463408E-5</v>
      </c>
      <c r="E20">
        <f t="shared" ca="1" si="3"/>
        <v>101.86465569077784</v>
      </c>
    </row>
    <row r="21" spans="1:5" x14ac:dyDescent="0.3">
      <c r="A21">
        <v>14</v>
      </c>
      <c r="B21">
        <f t="shared" ca="1" si="0"/>
        <v>-0.96969486628108448</v>
      </c>
      <c r="C21">
        <f t="shared" ca="1" si="1"/>
        <v>100.31439344262941</v>
      </c>
      <c r="D21">
        <f t="shared" ca="1" si="2"/>
        <v>-7.8452040640078179E-3</v>
      </c>
      <c r="E21">
        <f t="shared" ca="1" si="3"/>
        <v>101.06550667997379</v>
      </c>
    </row>
    <row r="22" spans="1:5" x14ac:dyDescent="0.3">
      <c r="A22">
        <v>15</v>
      </c>
      <c r="B22">
        <f t="shared" ca="1" si="0"/>
        <v>0.30360327459710584</v>
      </c>
      <c r="C22">
        <f t="shared" ca="1" si="1"/>
        <v>100.63542293091879</v>
      </c>
      <c r="D22">
        <f t="shared" ca="1" si="2"/>
        <v>-1.268246601564858E-3</v>
      </c>
      <c r="E22">
        <f t="shared" ca="1" si="3"/>
        <v>100.93733069459148</v>
      </c>
    </row>
    <row r="23" spans="1:5" x14ac:dyDescent="0.3">
      <c r="A23">
        <v>16</v>
      </c>
      <c r="B23">
        <f t="shared" ca="1" si="0"/>
        <v>-0.59212123437253539</v>
      </c>
      <c r="C23">
        <f t="shared" ca="1" si="1"/>
        <v>100.10232134444647</v>
      </c>
      <c r="D23">
        <f t="shared" ca="1" si="2"/>
        <v>-5.3388956534370438E-3</v>
      </c>
      <c r="E23">
        <f t="shared" ca="1" si="3"/>
        <v>100.39843681847658</v>
      </c>
    </row>
    <row r="24" spans="1:5" x14ac:dyDescent="0.3">
      <c r="A24">
        <v>17</v>
      </c>
      <c r="B24">
        <f t="shared" ca="1" si="0"/>
        <v>0.53452757060617773</v>
      </c>
      <c r="C24">
        <f t="shared" ca="1" si="1"/>
        <v>100.6419703347137</v>
      </c>
      <c r="D24">
        <f t="shared" ca="1" si="2"/>
        <v>1.8821442937230616E-3</v>
      </c>
      <c r="E24">
        <f t="shared" ca="1" si="3"/>
        <v>100.5874011634332</v>
      </c>
    </row>
    <row r="25" spans="1:5" x14ac:dyDescent="0.3">
      <c r="A25">
        <v>18</v>
      </c>
      <c r="B25">
        <f t="shared" ca="1" si="0"/>
        <v>-0.14301031071490147</v>
      </c>
      <c r="C25">
        <f t="shared" ca="1" si="1"/>
        <v>100.53763330125742</v>
      </c>
      <c r="D25">
        <f t="shared" ca="1" si="2"/>
        <v>-7.3877450154083684E-5</v>
      </c>
      <c r="E25">
        <f t="shared" ca="1" si="3"/>
        <v>100.57997002271762</v>
      </c>
    </row>
    <row r="26" spans="1:5" x14ac:dyDescent="0.3">
      <c r="A26">
        <v>19</v>
      </c>
      <c r="B26">
        <f t="shared" ca="1" si="0"/>
        <v>1.0531876601505956</v>
      </c>
      <c r="C26">
        <f t="shared" ca="1" si="1"/>
        <v>101.57431860447292</v>
      </c>
      <c r="D26">
        <f t="shared" ca="1" si="2"/>
        <v>8.7758808561814484E-3</v>
      </c>
      <c r="E26">
        <f t="shared" ca="1" si="3"/>
        <v>101.4626478561553</v>
      </c>
    </row>
    <row r="27" spans="1:5" x14ac:dyDescent="0.3">
      <c r="A27">
        <v>20</v>
      </c>
      <c r="B27">
        <f t="shared" ca="1" si="0"/>
        <v>0.68388762662723157</v>
      </c>
      <c r="C27">
        <f t="shared" ca="1" si="1"/>
        <v>102.26582922081982</v>
      </c>
      <c r="D27">
        <f t="shared" ca="1" si="2"/>
        <v>1.0166650626626805E-2</v>
      </c>
      <c r="E27">
        <f t="shared" ca="1" si="3"/>
        <v>102.49418314856129</v>
      </c>
    </row>
    <row r="28" spans="1:5" x14ac:dyDescent="0.3">
      <c r="A28">
        <v>21</v>
      </c>
      <c r="B28">
        <f t="shared" ca="1" si="0"/>
        <v>0.42754280802990768</v>
      </c>
      <c r="C28">
        <f t="shared" ca="1" si="1"/>
        <v>102.71334727232703</v>
      </c>
      <c r="D28">
        <f t="shared" ca="1" si="2"/>
        <v>8.7559479171696233E-3</v>
      </c>
      <c r="E28">
        <f t="shared" ca="1" si="3"/>
        <v>103.39161687802294</v>
      </c>
    </row>
    <row r="29" spans="1:5" x14ac:dyDescent="0.3">
      <c r="A29">
        <v>22</v>
      </c>
      <c r="B29">
        <f t="shared" ca="1" si="0"/>
        <v>-0.13828199100942318</v>
      </c>
      <c r="C29">
        <f t="shared" ca="1" si="1"/>
        <v>102.61147020142147</v>
      </c>
      <c r="D29">
        <f t="shared" ca="1" si="2"/>
        <v>3.4018714719959973E-3</v>
      </c>
      <c r="E29">
        <f t="shared" ca="1" si="3"/>
        <v>103.74334186992382</v>
      </c>
    </row>
    <row r="30" spans="1:5" x14ac:dyDescent="0.3">
      <c r="A30">
        <v>23</v>
      </c>
      <c r="B30">
        <f t="shared" ca="1" si="0"/>
        <v>1.4443616523072288E-2</v>
      </c>
      <c r="C30">
        <f t="shared" ca="1" si="1"/>
        <v>102.65836612420146</v>
      </c>
      <c r="D30">
        <f t="shared" ca="1" si="2"/>
        <v>1.9796021547226141E-3</v>
      </c>
      <c r="E30">
        <f t="shared" ca="1" si="3"/>
        <v>103.94871241302766</v>
      </c>
    </row>
    <row r="31" spans="1:5" x14ac:dyDescent="0.3">
      <c r="A31">
        <v>24</v>
      </c>
      <c r="B31">
        <f t="shared" ca="1" si="0"/>
        <v>0.12838538329776944</v>
      </c>
      <c r="C31">
        <f t="shared" ca="1" si="1"/>
        <v>102.81625168222816</v>
      </c>
      <c r="D31">
        <f t="shared" ca="1" si="2"/>
        <v>2.2045946346533367E-3</v>
      </c>
      <c r="E31">
        <f t="shared" ca="1" si="3"/>
        <v>104.17787718669256</v>
      </c>
    </row>
    <row r="32" spans="1:5" x14ac:dyDescent="0.3">
      <c r="A32">
        <v>25</v>
      </c>
      <c r="B32">
        <f t="shared" ca="1" si="0"/>
        <v>0.89620673114240512</v>
      </c>
      <c r="C32">
        <f t="shared" ca="1" si="1"/>
        <v>103.72331347267058</v>
      </c>
      <c r="D32">
        <f t="shared" ca="1" si="2"/>
        <v>8.6253869598466124E-3</v>
      </c>
      <c r="E32">
        <f t="shared" ca="1" si="3"/>
        <v>105.07645169008316</v>
      </c>
    </row>
    <row r="33" spans="1:5" x14ac:dyDescent="0.3">
      <c r="A33">
        <v>26</v>
      </c>
      <c r="B33">
        <f t="shared" ca="1" si="0"/>
        <v>-0.30972662953598118</v>
      </c>
      <c r="C33">
        <f t="shared" ca="1" si="1"/>
        <v>103.45173214824968</v>
      </c>
      <c r="D33">
        <f t="shared" ca="1" si="2"/>
        <v>1.9280295550697657E-3</v>
      </c>
      <c r="E33">
        <f t="shared" ca="1" si="3"/>
        <v>105.27904219448351</v>
      </c>
    </row>
    <row r="34" spans="1:5" x14ac:dyDescent="0.3">
      <c r="A34">
        <v>27</v>
      </c>
      <c r="B34">
        <f t="shared" ca="1" si="0"/>
        <v>1.5209170262456844</v>
      </c>
      <c r="C34">
        <f t="shared" ca="1" si="1"/>
        <v>104.97750924170786</v>
      </c>
      <c r="D34">
        <f t="shared" ca="1" si="2"/>
        <v>1.3619623228061454E-2</v>
      </c>
      <c r="E34">
        <f t="shared" ca="1" si="3"/>
        <v>106.71290308298356</v>
      </c>
    </row>
    <row r="35" spans="1:5" x14ac:dyDescent="0.3">
      <c r="A35">
        <v>28</v>
      </c>
      <c r="B35">
        <f t="shared" ca="1" si="0"/>
        <v>0.6763192737617143</v>
      </c>
      <c r="C35">
        <f t="shared" ca="1" si="1"/>
        <v>105.68465118020715</v>
      </c>
      <c r="D35">
        <f t="shared" ca="1" si="2"/>
        <v>1.2526341448752769E-2</v>
      </c>
      <c r="E35">
        <f t="shared" ca="1" si="3"/>
        <v>108.04962534398868</v>
      </c>
    </row>
    <row r="36" spans="1:5" x14ac:dyDescent="0.3">
      <c r="A36">
        <v>29</v>
      </c>
      <c r="B36">
        <f t="shared" ca="1" si="0"/>
        <v>-0.11380812908625519</v>
      </c>
      <c r="C36">
        <f t="shared" ca="1" si="1"/>
        <v>105.60436480047126</v>
      </c>
      <c r="D36">
        <f t="shared" ca="1" si="2"/>
        <v>5.4881415314563583E-3</v>
      </c>
      <c r="E36">
        <f t="shared" ca="1" si="3"/>
        <v>108.64261698029732</v>
      </c>
    </row>
    <row r="37" spans="1:5" x14ac:dyDescent="0.3">
      <c r="A37">
        <v>30</v>
      </c>
      <c r="B37">
        <f t="shared" ca="1" si="0"/>
        <v>-1.619887478692891</v>
      </c>
      <c r="C37">
        <f t="shared" ca="1" si="1"/>
        <v>104.01527235397165</v>
      </c>
      <c r="D37">
        <f t="shared" ca="1" si="2"/>
        <v>-1.0404662924775805E-2</v>
      </c>
      <c r="E37">
        <f t="shared" ca="1" si="3"/>
        <v>107.5122271713518</v>
      </c>
    </row>
    <row r="38" spans="1:5" x14ac:dyDescent="0.3">
      <c r="A38">
        <v>31</v>
      </c>
      <c r="B38">
        <f t="shared" ca="1" si="0"/>
        <v>-0.38226883564614755</v>
      </c>
      <c r="C38">
        <f t="shared" ca="1" si="1"/>
        <v>103.67134371348625</v>
      </c>
      <c r="D38">
        <f t="shared" ca="1" si="2"/>
        <v>-8.1829904271073506E-3</v>
      </c>
      <c r="E38">
        <f t="shared" ca="1" si="3"/>
        <v>106.63245564561163</v>
      </c>
    </row>
    <row r="39" spans="1:5" x14ac:dyDescent="0.3">
      <c r="A39">
        <v>32</v>
      </c>
      <c r="B39">
        <f t="shared" ca="1" si="0"/>
        <v>-0.87398347266884835</v>
      </c>
      <c r="C39">
        <f t="shared" ca="1" si="1"/>
        <v>102.84494467869763</v>
      </c>
      <c r="D39">
        <f t="shared" ca="1" si="2"/>
        <v>-1.1112002156565097E-2</v>
      </c>
      <c r="E39">
        <f t="shared" ca="1" si="3"/>
        <v>105.44755556851777</v>
      </c>
    </row>
    <row r="40" spans="1:5" x14ac:dyDescent="0.3">
      <c r="A40">
        <v>33</v>
      </c>
      <c r="B40">
        <f t="shared" ca="1" si="0"/>
        <v>-1.080414720637874</v>
      </c>
      <c r="C40">
        <f t="shared" ca="1" si="1"/>
        <v>101.82372379124286</v>
      </c>
      <c r="D40">
        <f t="shared" ca="1" si="2"/>
        <v>-1.4272513787592638E-2</v>
      </c>
      <c r="E40">
        <f t="shared" ca="1" si="3"/>
        <v>103.94255387779816</v>
      </c>
    </row>
    <row r="41" spans="1:5" x14ac:dyDescent="0.3">
      <c r="A41">
        <v>34</v>
      </c>
      <c r="B41">
        <f t="shared" ca="1" si="0"/>
        <v>-1.6761409190558187</v>
      </c>
      <c r="C41">
        <f t="shared" ca="1" si="1"/>
        <v>100.2371809652721</v>
      </c>
      <c r="D41">
        <f t="shared" ca="1" si="2"/>
        <v>-2.0747159757661008E-2</v>
      </c>
      <c r="E41">
        <f t="shared" ca="1" si="3"/>
        <v>101.7860411068762</v>
      </c>
    </row>
    <row r="42" spans="1:5" x14ac:dyDescent="0.3">
      <c r="A42">
        <v>35</v>
      </c>
      <c r="B42">
        <f t="shared" ca="1" si="0"/>
        <v>0.39407625795328838</v>
      </c>
      <c r="C42">
        <f t="shared" ca="1" si="1"/>
        <v>100.64399713675151</v>
      </c>
      <c r="D42">
        <f t="shared" ca="1" si="2"/>
        <v>-6.9759130409568935E-3</v>
      </c>
      <c r="E42">
        <f t="shared" ca="1" si="3"/>
        <v>101.07599053533137</v>
      </c>
    </row>
    <row r="43" spans="1:5" x14ac:dyDescent="0.3">
      <c r="A43">
        <v>36</v>
      </c>
      <c r="B43">
        <f t="shared" ca="1" si="0"/>
        <v>-0.18136048127530457</v>
      </c>
      <c r="C43">
        <f t="shared" ca="1" si="1"/>
        <v>100.50304153568206</v>
      </c>
      <c r="D43">
        <f t="shared" ca="1" si="2"/>
        <v>-4.8179849199956109E-3</v>
      </c>
      <c r="E43">
        <f t="shared" ca="1" si="3"/>
        <v>100.58900793715853</v>
      </c>
    </row>
    <row r="44" spans="1:5" x14ac:dyDescent="0.3">
      <c r="A44">
        <v>37</v>
      </c>
      <c r="B44">
        <f t="shared" ca="1" si="0"/>
        <v>0.9731517276629309</v>
      </c>
      <c r="C44">
        <f t="shared" ca="1" si="1"/>
        <v>101.46305944327527</v>
      </c>
      <c r="D44">
        <f t="shared" ca="1" si="2"/>
        <v>5.7462648367438661E-3</v>
      </c>
      <c r="E44">
        <f t="shared" ca="1" si="3"/>
        <v>101.16701901643077</v>
      </c>
    </row>
    <row r="45" spans="1:5" x14ac:dyDescent="0.3">
      <c r="A45">
        <v>38</v>
      </c>
      <c r="B45">
        <f t="shared" ca="1" si="0"/>
        <v>-0.98319692267782544</v>
      </c>
      <c r="C45">
        <f t="shared" ca="1" si="1"/>
        <v>100.54913854584146</v>
      </c>
      <c r="D45">
        <f t="shared" ca="1" si="2"/>
        <v>-5.0446545769326813E-3</v>
      </c>
      <c r="E45">
        <f t="shared" ca="1" si="3"/>
        <v>100.65666635091489</v>
      </c>
    </row>
    <row r="46" spans="1:5" x14ac:dyDescent="0.3">
      <c r="A46">
        <v>39</v>
      </c>
      <c r="B46">
        <f t="shared" ca="1" si="0"/>
        <v>0.33835966144939922</v>
      </c>
      <c r="C46">
        <f t="shared" ca="1" si="1"/>
        <v>100.90407314336998</v>
      </c>
      <c r="D46">
        <f t="shared" ca="1" si="2"/>
        <v>4.1758099841836607E-4</v>
      </c>
      <c r="E46">
        <f t="shared" ca="1" si="3"/>
        <v>100.69869866214717</v>
      </c>
    </row>
    <row r="47" spans="1:5" x14ac:dyDescent="0.3">
      <c r="A47">
        <v>40</v>
      </c>
      <c r="B47">
        <f t="shared" ca="1" si="0"/>
        <v>-0.35616711428413128</v>
      </c>
      <c r="C47">
        <f t="shared" ca="1" si="1"/>
        <v>100.59541788327026</v>
      </c>
      <c r="D47">
        <f t="shared" ca="1" si="2"/>
        <v>-2.5574209418149046E-3</v>
      </c>
      <c r="E47">
        <f t="shared" ca="1" si="3"/>
        <v>100.44116970137509</v>
      </c>
    </row>
    <row r="48" spans="1:5" x14ac:dyDescent="0.3">
      <c r="A48">
        <v>41</v>
      </c>
      <c r="B48">
        <f t="shared" ca="1" si="0"/>
        <v>0.43341252646667328</v>
      </c>
      <c r="C48">
        <f t="shared" ca="1" si="1"/>
        <v>101.04122782902239</v>
      </c>
      <c r="D48">
        <f t="shared" ca="1" si="2"/>
        <v>2.4421367908590745E-3</v>
      </c>
      <c r="E48">
        <f t="shared" ca="1" si="3"/>
        <v>100.68646077721974</v>
      </c>
    </row>
    <row r="49" spans="1:5" x14ac:dyDescent="0.3">
      <c r="A49">
        <v>42</v>
      </c>
      <c r="B49">
        <f t="shared" ca="1" si="0"/>
        <v>1.6657705770930298</v>
      </c>
      <c r="C49">
        <f t="shared" ca="1" si="1"/>
        <v>102.67030415278208</v>
      </c>
      <c r="D49">
        <f t="shared" ca="1" si="2"/>
        <v>1.5066770205963299E-2</v>
      </c>
      <c r="E49">
        <f t="shared" ca="1" si="3"/>
        <v>102.20348054460183</v>
      </c>
    </row>
    <row r="50" spans="1:5" x14ac:dyDescent="0.3">
      <c r="A50">
        <v>43</v>
      </c>
      <c r="B50">
        <f t="shared" ca="1" si="0"/>
        <v>1.9309254742788249</v>
      </c>
      <c r="C50">
        <f t="shared" ca="1" si="1"/>
        <v>104.58391101007301</v>
      </c>
      <c r="D50">
        <f t="shared" ca="1" si="2"/>
        <v>2.3557556689839755E-2</v>
      </c>
      <c r="E50">
        <f t="shared" ca="1" si="3"/>
        <v>104.61114483143024</v>
      </c>
    </row>
    <row r="51" spans="1:5" x14ac:dyDescent="0.3">
      <c r="A51">
        <v>44</v>
      </c>
      <c r="B51">
        <f t="shared" ca="1" si="0"/>
        <v>-0.31612645654139909</v>
      </c>
      <c r="C51">
        <f t="shared" ca="1" si="1"/>
        <v>104.30372664479802</v>
      </c>
      <c r="D51">
        <f t="shared" ca="1" si="2"/>
        <v>9.3415344758413649E-3</v>
      </c>
      <c r="E51">
        <f t="shared" ca="1" si="3"/>
        <v>105.58837344743029</v>
      </c>
    </row>
    <row r="52" spans="1:5" x14ac:dyDescent="0.3">
      <c r="A52">
        <v>45</v>
      </c>
      <c r="B52">
        <f t="shared" ca="1" si="0"/>
        <v>-0.51757885747476295</v>
      </c>
      <c r="C52">
        <f t="shared" ca="1" si="1"/>
        <v>103.82495332934873</v>
      </c>
      <c r="D52">
        <f t="shared" ca="1" si="2"/>
        <v>5.7842300502049769E-4</v>
      </c>
      <c r="E52">
        <f t="shared" ca="1" si="3"/>
        <v>105.64944819169497</v>
      </c>
    </row>
    <row r="53" spans="1:5" x14ac:dyDescent="0.3">
      <c r="A53">
        <v>46</v>
      </c>
      <c r="B53">
        <f t="shared" ca="1" si="0"/>
        <v>-0.61915086527152807</v>
      </c>
      <c r="C53">
        <f t="shared" ca="1" si="1"/>
        <v>103.24833229194492</v>
      </c>
      <c r="D53">
        <f t="shared" ca="1" si="2"/>
        <v>-4.6376319286106204E-3</v>
      </c>
      <c r="E53">
        <f t="shared" ca="1" si="3"/>
        <v>105.15948493752107</v>
      </c>
    </row>
    <row r="54" spans="1:5" x14ac:dyDescent="0.3">
      <c r="A54">
        <v>47</v>
      </c>
      <c r="B54">
        <f t="shared" ca="1" si="0"/>
        <v>-0.39810303261510199</v>
      </c>
      <c r="C54">
        <f t="shared" ca="1" si="1"/>
        <v>102.89142996364461</v>
      </c>
      <c r="D54">
        <f t="shared" ca="1" si="2"/>
        <v>-5.4295661319229034E-3</v>
      </c>
      <c r="E54">
        <f t="shared" ca="1" si="3"/>
        <v>104.58851455965385</v>
      </c>
    </row>
    <row r="55" spans="1:5" x14ac:dyDescent="0.3">
      <c r="A55">
        <v>48</v>
      </c>
      <c r="B55">
        <f t="shared" ca="1" si="0"/>
        <v>-0.32673524801759118</v>
      </c>
      <c r="C55">
        <f t="shared" ca="1" si="1"/>
        <v>102.60542443304028</v>
      </c>
      <c r="D55">
        <f t="shared" ca="1" si="2"/>
        <v>-5.2391870510306486E-3</v>
      </c>
      <c r="E55">
        <f t="shared" ca="1" si="3"/>
        <v>104.04055576848637</v>
      </c>
    </row>
    <row r="56" spans="1:5" x14ac:dyDescent="0.3">
      <c r="A56">
        <v>49</v>
      </c>
      <c r="B56">
        <f t="shared" ca="1" si="0"/>
        <v>0.57335743083147173</v>
      </c>
      <c r="C56">
        <f t="shared" ca="1" si="1"/>
        <v>103.19636459275053</v>
      </c>
      <c r="D56">
        <f t="shared" ca="1" si="2"/>
        <v>2.2510184501787515E-3</v>
      </c>
      <c r="E56">
        <f t="shared" ca="1" si="3"/>
        <v>104.27475297908808</v>
      </c>
    </row>
    <row r="57" spans="1:5" x14ac:dyDescent="0.3">
      <c r="A57">
        <v>50</v>
      </c>
      <c r="B57">
        <f t="shared" ca="1" si="0"/>
        <v>0.66060391259362838</v>
      </c>
      <c r="C57">
        <f t="shared" ca="1" si="1"/>
        <v>103.87612306943778</v>
      </c>
      <c r="D57">
        <f t="shared" ca="1" si="2"/>
        <v>6.712924192644896E-3</v>
      </c>
      <c r="E57">
        <f t="shared" ca="1" si="3"/>
        <v>104.97474149104347</v>
      </c>
    </row>
    <row r="58" spans="1:5" x14ac:dyDescent="0.3">
      <c r="A58">
        <v>51</v>
      </c>
      <c r="B58">
        <f t="shared" ca="1" si="0"/>
        <v>-0.5807426908545088</v>
      </c>
      <c r="C58">
        <f t="shared" ca="1" si="1"/>
        <v>103.33706739055562</v>
      </c>
      <c r="D58">
        <f t="shared" ca="1" si="2"/>
        <v>-1.2548259819865062E-3</v>
      </c>
      <c r="E58">
        <f t="shared" ca="1" si="3"/>
        <v>104.8430164579682</v>
      </c>
    </row>
    <row r="59" spans="1:5" x14ac:dyDescent="0.3">
      <c r="A59">
        <v>52</v>
      </c>
      <c r="B59">
        <f t="shared" ca="1" si="0"/>
        <v>-7.2253870912892315E-2</v>
      </c>
      <c r="C59">
        <f t="shared" ca="1" si="1"/>
        <v>103.29930178399918</v>
      </c>
      <c r="D59">
        <f t="shared" ca="1" si="2"/>
        <v>-1.0610391154841159E-3</v>
      </c>
      <c r="E59">
        <f t="shared" ca="1" si="3"/>
        <v>104.73177391652095</v>
      </c>
    </row>
    <row r="60" spans="1:5" x14ac:dyDescent="0.3">
      <c r="A60">
        <v>53</v>
      </c>
      <c r="B60">
        <f t="shared" ca="1" si="0"/>
        <v>-0.38526816027638167</v>
      </c>
      <c r="C60">
        <f t="shared" ca="1" si="1"/>
        <v>102.95480122713252</v>
      </c>
      <c r="D60">
        <f t="shared" ca="1" si="2"/>
        <v>-3.535820488820408E-3</v>
      </c>
      <c r="E60">
        <f t="shared" ca="1" si="3"/>
        <v>104.36146116447641</v>
      </c>
    </row>
    <row r="61" spans="1:5" x14ac:dyDescent="0.3">
      <c r="A61">
        <v>54</v>
      </c>
      <c r="B61">
        <f t="shared" ca="1" si="0"/>
        <v>0.14240656702518761</v>
      </c>
      <c r="C61">
        <f t="shared" ca="1" si="1"/>
        <v>103.12683739417592</v>
      </c>
      <c r="D61">
        <f t="shared" ca="1" si="2"/>
        <v>-4.379209079617048E-4</v>
      </c>
      <c r="E61">
        <f t="shared" ca="1" si="3"/>
        <v>104.31575909864705</v>
      </c>
    </row>
    <row r="62" spans="1:5" x14ac:dyDescent="0.3">
      <c r="A62">
        <v>55</v>
      </c>
      <c r="B62">
        <f t="shared" ca="1" si="0"/>
        <v>0.32361284119964351</v>
      </c>
      <c r="C62">
        <f t="shared" ca="1" si="1"/>
        <v>103.47644366108128</v>
      </c>
      <c r="D62">
        <f t="shared" ca="1" si="2"/>
        <v>2.5997903413698766E-3</v>
      </c>
      <c r="E62">
        <f t="shared" ca="1" si="3"/>
        <v>104.58695820160439</v>
      </c>
    </row>
    <row r="63" spans="1:5" x14ac:dyDescent="0.3">
      <c r="A63">
        <v>56</v>
      </c>
      <c r="B63">
        <f t="shared" ca="1" si="0"/>
        <v>-0.73528145563478853</v>
      </c>
      <c r="C63">
        <f t="shared" ca="1" si="1"/>
        <v>102.78775698051663</v>
      </c>
      <c r="D63">
        <f t="shared" ca="1" si="2"/>
        <v>-4.581058419811177E-3</v>
      </c>
      <c r="E63">
        <f t="shared" ca="1" si="3"/>
        <v>104.10783923613249</v>
      </c>
    </row>
    <row r="64" spans="1:5" x14ac:dyDescent="0.3">
      <c r="A64">
        <v>57</v>
      </c>
      <c r="B64">
        <f t="shared" ca="1" si="0"/>
        <v>-0.78445912361983883</v>
      </c>
      <c r="C64">
        <f t="shared" ca="1" si="1"/>
        <v>102.0556992155998</v>
      </c>
      <c r="D64">
        <f t="shared" ca="1" si="2"/>
        <v>-8.5755185716153808E-3</v>
      </c>
      <c r="E64">
        <f t="shared" ca="1" si="3"/>
        <v>103.21506052731229</v>
      </c>
    </row>
    <row r="65" spans="1:5" x14ac:dyDescent="0.3">
      <c r="A65">
        <v>58</v>
      </c>
      <c r="B65">
        <f t="shared" ca="1" si="0"/>
        <v>-0.17446399834647869</v>
      </c>
      <c r="C65">
        <f t="shared" ca="1" si="1"/>
        <v>101.9194435480055</v>
      </c>
      <c r="D65">
        <f t="shared" ca="1" si="2"/>
        <v>-5.561127296311346E-3</v>
      </c>
      <c r="E65">
        <f t="shared" ca="1" si="3"/>
        <v>102.64106843682343</v>
      </c>
    </row>
    <row r="66" spans="1:5" x14ac:dyDescent="0.3">
      <c r="A66">
        <v>59</v>
      </c>
      <c r="B66">
        <f t="shared" ca="1" si="0"/>
        <v>-0.38532855008559852</v>
      </c>
      <c r="C66">
        <f t="shared" ca="1" si="1"/>
        <v>101.57948639296262</v>
      </c>
      <c r="D66">
        <f t="shared" ca="1" si="2"/>
        <v>-5.7863607321452957E-3</v>
      </c>
      <c r="E66">
        <f t="shared" ca="1" si="3"/>
        <v>102.04715018891515</v>
      </c>
    </row>
    <row r="67" spans="1:5" x14ac:dyDescent="0.3">
      <c r="A67">
        <v>60</v>
      </c>
      <c r="B67">
        <f t="shared" ca="1" si="0"/>
        <v>-0.28995271086740271</v>
      </c>
      <c r="C67">
        <f t="shared" ca="1" si="1"/>
        <v>101.33257378933422</v>
      </c>
      <c r="D67">
        <f t="shared" ca="1" si="2"/>
        <v>-5.1153849713503948E-3</v>
      </c>
      <c r="E67">
        <f t="shared" ca="1" si="3"/>
        <v>101.52513973046963</v>
      </c>
    </row>
    <row r="68" spans="1:5" x14ac:dyDescent="0.3">
      <c r="A68">
        <v>61</v>
      </c>
      <c r="B68">
        <f t="shared" ca="1" si="0"/>
        <v>-2.0006621283570287</v>
      </c>
      <c r="C68">
        <f t="shared" ca="1" si="1"/>
        <v>99.441713286221315</v>
      </c>
      <c r="D68">
        <f t="shared" ca="1" si="2"/>
        <v>-1.8834809150386808E-2</v>
      </c>
      <c r="E68">
        <f t="shared" ca="1" si="3"/>
        <v>99.612933099679879</v>
      </c>
    </row>
    <row r="69" spans="1:5" x14ac:dyDescent="0.3">
      <c r="A69">
        <v>62</v>
      </c>
      <c r="B69">
        <f t="shared" ca="1" si="0"/>
        <v>-2.0083266473326693E-2</v>
      </c>
      <c r="C69">
        <f t="shared" ca="1" si="1"/>
        <v>99.454588343465829</v>
      </c>
      <c r="D69">
        <f t="shared" ca="1" si="2"/>
        <v>-9.4224054463308282E-3</v>
      </c>
      <c r="E69">
        <f t="shared" ca="1" si="3"/>
        <v>98.674339656316477</v>
      </c>
    </row>
    <row r="70" spans="1:5" x14ac:dyDescent="0.3">
      <c r="A70">
        <v>63</v>
      </c>
      <c r="B70">
        <f t="shared" ca="1" si="0"/>
        <v>1.6350562705858697E-2</v>
      </c>
      <c r="C70">
        <f t="shared" ca="1" si="1"/>
        <v>99.501840715928054</v>
      </c>
      <c r="D70">
        <f t="shared" ca="1" si="2"/>
        <v>-4.4168691428368911E-3</v>
      </c>
      <c r="E70">
        <f t="shared" ca="1" si="3"/>
        <v>98.238508010298688</v>
      </c>
    </row>
    <row r="71" spans="1:5" x14ac:dyDescent="0.3">
      <c r="A71">
        <v>64</v>
      </c>
      <c r="B71">
        <f t="shared" ca="1" si="0"/>
        <v>0.17650970205886801</v>
      </c>
      <c r="C71">
        <f t="shared" ca="1" si="1"/>
        <v>99.700298934524923</v>
      </c>
      <c r="D71">
        <f t="shared" ca="1" si="2"/>
        <v>-5.9825938987607442E-4</v>
      </c>
      <c r="E71">
        <f t="shared" ca="1" si="3"/>
        <v>98.17973590043411</v>
      </c>
    </row>
    <row r="72" spans="1:5" x14ac:dyDescent="0.3">
      <c r="A72">
        <v>65</v>
      </c>
      <c r="B72">
        <f t="shared" ca="1" si="0"/>
        <v>1.0494349314618268</v>
      </c>
      <c r="C72">
        <f t="shared" ca="1" si="1"/>
        <v>100.72480065401349</v>
      </c>
      <c r="D72">
        <f t="shared" ca="1" si="2"/>
        <v>8.4828580739949189E-3</v>
      </c>
      <c r="E72">
        <f t="shared" ca="1" si="3"/>
        <v>99.012580665819783</v>
      </c>
    </row>
    <row r="73" spans="1:5" x14ac:dyDescent="0.3">
      <c r="A73">
        <v>66</v>
      </c>
      <c r="B73">
        <f t="shared" ref="B73:B107" ca="1" si="4">_xlfn.NORM.INV(RAND(),0,1)</f>
        <v>-0.97527505636960388</v>
      </c>
      <c r="C73">
        <f t="shared" ref="C73:C107" ca="1" si="5">C72*(1+$B$1*$B$3+$B$2*SQRT($B$3)*B73)</f>
        <v>99.825099380754736</v>
      </c>
      <c r="D73">
        <f t="shared" ref="D73:D107" ca="1" si="6">(1-$B$4)*$B$1*$B$3+$B$4*D72+SQRT((1-$B$4^2)*$B$2^2*$B$3)*B73</f>
        <v>-3.6112731851888581E-3</v>
      </c>
      <c r="E73">
        <f t="shared" ref="E73:E107" ca="1" si="7">E72*(1+D73)</f>
        <v>98.655019188264959</v>
      </c>
    </row>
    <row r="74" spans="1:5" x14ac:dyDescent="0.3">
      <c r="A74">
        <v>67</v>
      </c>
      <c r="B74">
        <f t="shared" ca="1" si="4"/>
        <v>0.58103563705783534</v>
      </c>
      <c r="C74">
        <f t="shared" ca="1" si="5"/>
        <v>100.40729813190312</v>
      </c>
      <c r="D74">
        <f t="shared" ca="1" si="6"/>
        <v>3.1280582843699872E-3</v>
      </c>
      <c r="E74">
        <f t="shared" ca="1" si="7"/>
        <v>98.963617838331487</v>
      </c>
    </row>
    <row r="75" spans="1:5" x14ac:dyDescent="0.3">
      <c r="A75">
        <v>68</v>
      </c>
      <c r="B75">
        <f t="shared" ca="1" si="4"/>
        <v>-0.21911478341391541</v>
      </c>
      <c r="C75">
        <f t="shared" ca="1" si="5"/>
        <v>100.23071127911722</v>
      </c>
      <c r="D75">
        <f t="shared" ca="1" si="6"/>
        <v>-7.6182501194911037E-5</v>
      </c>
      <c r="E75">
        <f t="shared" ca="1" si="7"/>
        <v>98.956078542397265</v>
      </c>
    </row>
    <row r="76" spans="1:5" x14ac:dyDescent="0.3">
      <c r="A76">
        <v>69</v>
      </c>
      <c r="B76">
        <f t="shared" ca="1" si="4"/>
        <v>0.22391036767702918</v>
      </c>
      <c r="C76">
        <f t="shared" ca="1" si="5"/>
        <v>100.47569520976135</v>
      </c>
      <c r="D76">
        <f t="shared" ca="1" si="6"/>
        <v>1.9615201379423121E-3</v>
      </c>
      <c r="E76">
        <f t="shared" ca="1" si="7"/>
        <v>99.150182883229988</v>
      </c>
    </row>
    <row r="77" spans="1:5" x14ac:dyDescent="0.3">
      <c r="A77">
        <v>70</v>
      </c>
      <c r="B77">
        <f t="shared" ca="1" si="4"/>
        <v>-6.6319652728871664E-2</v>
      </c>
      <c r="C77">
        <f t="shared" ca="1" si="5"/>
        <v>100.44463179530385</v>
      </c>
      <c r="D77">
        <f t="shared" ca="1" si="6"/>
        <v>5.9588852188847518E-4</v>
      </c>
      <c r="E77">
        <f t="shared" ca="1" si="7"/>
        <v>99.209265339153248</v>
      </c>
    </row>
    <row r="78" spans="1:5" x14ac:dyDescent="0.3">
      <c r="A78">
        <v>71</v>
      </c>
      <c r="B78">
        <f t="shared" ca="1" si="4"/>
        <v>-0.79628661105616694</v>
      </c>
      <c r="C78">
        <f t="shared" ca="1" si="5"/>
        <v>99.717991414666827</v>
      </c>
      <c r="D78">
        <f t="shared" ca="1" si="6"/>
        <v>-6.0842178257778413E-3</v>
      </c>
      <c r="E78">
        <f t="shared" ca="1" si="7"/>
        <v>98.60565455849445</v>
      </c>
    </row>
    <row r="79" spans="1:5" x14ac:dyDescent="0.3">
      <c r="A79">
        <v>72</v>
      </c>
      <c r="B79">
        <f t="shared" ca="1" si="4"/>
        <v>-0.29071422239558997</v>
      </c>
      <c r="C79">
        <f t="shared" ca="1" si="5"/>
        <v>99.474883212256032</v>
      </c>
      <c r="D79">
        <f t="shared" ca="1" si="6"/>
        <v>-5.270569973793493E-3</v>
      </c>
      <c r="E79">
        <f t="shared" ca="1" si="7"/>
        <v>98.085946556332189</v>
      </c>
    </row>
    <row r="80" spans="1:5" x14ac:dyDescent="0.3">
      <c r="A80">
        <v>73</v>
      </c>
      <c r="B80">
        <f t="shared" ca="1" si="4"/>
        <v>-0.21033748482429998</v>
      </c>
      <c r="C80">
        <f t="shared" ca="1" si="5"/>
        <v>99.308219353328468</v>
      </c>
      <c r="D80">
        <f t="shared" ca="1" si="6"/>
        <v>-4.2033837638042913E-3</v>
      </c>
      <c r="E80">
        <f t="shared" ca="1" si="7"/>
        <v>97.67365368111993</v>
      </c>
    </row>
    <row r="81" spans="1:5" x14ac:dyDescent="0.3">
      <c r="A81">
        <v>74</v>
      </c>
      <c r="B81">
        <f t="shared" ca="1" si="4"/>
        <v>0.11678942340286091</v>
      </c>
      <c r="C81">
        <f t="shared" ca="1" si="5"/>
        <v>99.450027692394315</v>
      </c>
      <c r="D81">
        <f t="shared" ca="1" si="6"/>
        <v>-9.8216885676561533E-4</v>
      </c>
      <c r="E81">
        <f t="shared" ca="1" si="7"/>
        <v>97.577721660347819</v>
      </c>
    </row>
    <row r="82" spans="1:5" x14ac:dyDescent="0.3">
      <c r="A82">
        <v>75</v>
      </c>
      <c r="B82">
        <f t="shared" ca="1" si="4"/>
        <v>7.7464705369894971E-2</v>
      </c>
      <c r="C82">
        <f t="shared" ca="1" si="5"/>
        <v>99.55493700168276</v>
      </c>
      <c r="D82">
        <f t="shared" ca="1" si="6"/>
        <v>3.0535306974093803E-4</v>
      </c>
      <c r="E82">
        <f t="shared" ca="1" si="7"/>
        <v>97.607517317195146</v>
      </c>
    </row>
    <row r="83" spans="1:5" x14ac:dyDescent="0.3">
      <c r="A83">
        <v>76</v>
      </c>
      <c r="B83">
        <f t="shared" ca="1" si="4"/>
        <v>-0.14314882242848045</v>
      </c>
      <c r="C83">
        <f t="shared" ca="1" si="5"/>
        <v>99.451596092994876</v>
      </c>
      <c r="D83">
        <f t="shared" ca="1" si="6"/>
        <v>-8.6341105199523409E-4</v>
      </c>
      <c r="E83">
        <f t="shared" ca="1" si="7"/>
        <v>97.523241907985664</v>
      </c>
    </row>
    <row r="84" spans="1:5" x14ac:dyDescent="0.3">
      <c r="A84">
        <v>77</v>
      </c>
      <c r="B84">
        <f t="shared" ca="1" si="4"/>
        <v>0.55583481342383745</v>
      </c>
      <c r="C84">
        <f t="shared" ca="1" si="5"/>
        <v>100.00784001247023</v>
      </c>
      <c r="D84">
        <f t="shared" ca="1" si="6"/>
        <v>4.2949434573860499E-3</v>
      </c>
      <c r="E84">
        <f t="shared" ca="1" si="7"/>
        <v>97.942098717761439</v>
      </c>
    </row>
    <row r="85" spans="1:5" x14ac:dyDescent="0.3">
      <c r="A85">
        <v>78</v>
      </c>
      <c r="B85">
        <f t="shared" ca="1" si="4"/>
        <v>-1.0241949408118107</v>
      </c>
      <c r="C85">
        <f t="shared" ca="1" si="5"/>
        <v>99.068129710544923</v>
      </c>
      <c r="D85">
        <f t="shared" ca="1" si="6"/>
        <v>-6.1071483567864335E-3</v>
      </c>
      <c r="E85">
        <f t="shared" ca="1" si="7"/>
        <v>97.343951790517053</v>
      </c>
    </row>
    <row r="86" spans="1:5" x14ac:dyDescent="0.3">
      <c r="A86">
        <v>79</v>
      </c>
      <c r="B86">
        <f t="shared" ca="1" si="4"/>
        <v>0.93407196524792491</v>
      </c>
      <c r="C86">
        <f t="shared" ca="1" si="5"/>
        <v>99.977712323510559</v>
      </c>
      <c r="D86">
        <f t="shared" ca="1" si="6"/>
        <v>4.7806101070988344E-3</v>
      </c>
      <c r="E86">
        <f t="shared" ca="1" si="7"/>
        <v>97.809315270311743</v>
      </c>
    </row>
    <row r="87" spans="1:5" x14ac:dyDescent="0.3">
      <c r="A87">
        <v>80</v>
      </c>
      <c r="B87">
        <f t="shared" ca="1" si="4"/>
        <v>-2.1949918145728198</v>
      </c>
      <c r="C87">
        <f t="shared" ca="1" si="5"/>
        <v>97.927817225504867</v>
      </c>
      <c r="D87">
        <f t="shared" ca="1" si="6"/>
        <v>-1.5483392902161535E-2</v>
      </c>
      <c r="E87">
        <f t="shared" ca="1" si="7"/>
        <v>96.294895212490118</v>
      </c>
    </row>
    <row r="88" spans="1:5" x14ac:dyDescent="0.3">
      <c r="A88">
        <v>81</v>
      </c>
      <c r="B88">
        <f t="shared" ca="1" si="4"/>
        <v>0.23700721019498849</v>
      </c>
      <c r="C88">
        <f t="shared" ca="1" si="5"/>
        <v>98.179339714008151</v>
      </c>
      <c r="D88">
        <f t="shared" ca="1" si="6"/>
        <v>-5.6344835213533138E-3</v>
      </c>
      <c r="E88">
        <f t="shared" ca="1" si="7"/>
        <v>95.752323212224894</v>
      </c>
    </row>
    <row r="89" spans="1:5" x14ac:dyDescent="0.3">
      <c r="A89">
        <v>82</v>
      </c>
      <c r="B89">
        <f t="shared" ca="1" si="4"/>
        <v>0.36673595677223497</v>
      </c>
      <c r="C89">
        <f t="shared" ca="1" si="5"/>
        <v>98.552339006217466</v>
      </c>
      <c r="D89">
        <f t="shared" ca="1" si="6"/>
        <v>3.5580158190923195E-4</v>
      </c>
      <c r="E89">
        <f t="shared" ca="1" si="7"/>
        <v>95.786392040295283</v>
      </c>
    </row>
    <row r="90" spans="1:5" x14ac:dyDescent="0.3">
      <c r="A90">
        <v>83</v>
      </c>
      <c r="B90">
        <f t="shared" ca="1" si="4"/>
        <v>0.59653390983794996</v>
      </c>
      <c r="C90">
        <f t="shared" ca="1" si="5"/>
        <v>99.141604883152326</v>
      </c>
      <c r="D90">
        <f t="shared" ca="1" si="6"/>
        <v>5.2389269719795885E-3</v>
      </c>
      <c r="E90">
        <f t="shared" ca="1" si="7"/>
        <v>96.288209953103802</v>
      </c>
    </row>
    <row r="91" spans="1:5" x14ac:dyDescent="0.3">
      <c r="A91">
        <v>84</v>
      </c>
      <c r="B91">
        <f t="shared" ca="1" si="4"/>
        <v>0.21662223668705566</v>
      </c>
      <c r="C91">
        <f t="shared" ca="1" si="5"/>
        <v>99.377072042053626</v>
      </c>
      <c r="D91">
        <f t="shared" ca="1" si="6"/>
        <v>4.5591967683506476E-3</v>
      </c>
      <c r="E91">
        <f t="shared" ca="1" si="7"/>
        <v>96.72720684875226</v>
      </c>
    </row>
    <row r="92" spans="1:5" x14ac:dyDescent="0.3">
      <c r="A92">
        <v>85</v>
      </c>
      <c r="B92">
        <f t="shared" ca="1" si="4"/>
        <v>0.11486801332348026</v>
      </c>
      <c r="C92">
        <f t="shared" ca="1" si="5"/>
        <v>99.517167245265526</v>
      </c>
      <c r="D92">
        <f t="shared" ca="1" si="6"/>
        <v>3.3833354146714355E-3</v>
      </c>
      <c r="E92">
        <f t="shared" ca="1" si="7"/>
        <v>97.054467433245904</v>
      </c>
    </row>
    <row r="93" spans="1:5" x14ac:dyDescent="0.3">
      <c r="A93">
        <v>86</v>
      </c>
      <c r="B93">
        <f t="shared" ca="1" si="4"/>
        <v>-0.10750404676414312</v>
      </c>
      <c r="C93">
        <f t="shared" ca="1" si="5"/>
        <v>99.447517873205385</v>
      </c>
      <c r="D93">
        <f t="shared" ca="1" si="6"/>
        <v>9.6843183579854611E-4</v>
      </c>
      <c r="E93">
        <f t="shared" ca="1" si="7"/>
        <v>97.148458069314728</v>
      </c>
    </row>
    <row r="94" spans="1:5" x14ac:dyDescent="0.3">
      <c r="A94">
        <v>87</v>
      </c>
      <c r="B94">
        <f t="shared" ca="1" si="4"/>
        <v>0.4184429724424264</v>
      </c>
      <c r="C94">
        <f t="shared" ca="1" si="5"/>
        <v>99.874117750547043</v>
      </c>
      <c r="D94">
        <f t="shared" ca="1" si="6"/>
        <v>4.0820757434427164E-3</v>
      </c>
      <c r="E94">
        <f t="shared" ca="1" si="7"/>
        <v>97.54502543351235</v>
      </c>
    </row>
    <row r="95" spans="1:5" x14ac:dyDescent="0.3">
      <c r="A95">
        <v>88</v>
      </c>
      <c r="B95">
        <f t="shared" ca="1" si="4"/>
        <v>0.17278496462933995</v>
      </c>
      <c r="C95">
        <f t="shared" ca="1" si="5"/>
        <v>100.06978933439521</v>
      </c>
      <c r="D95">
        <f t="shared" ca="1" si="6"/>
        <v>3.6206112125996845E-3</v>
      </c>
      <c r="E95">
        <f t="shared" ca="1" si="7"/>
        <v>97.898198046330236</v>
      </c>
    </row>
    <row r="96" spans="1:5" x14ac:dyDescent="0.3">
      <c r="A96">
        <v>89</v>
      </c>
      <c r="B96">
        <f t="shared" ca="1" si="4"/>
        <v>0.93601845259421612</v>
      </c>
      <c r="C96">
        <f t="shared" ca="1" si="5"/>
        <v>100.99041645849718</v>
      </c>
      <c r="D96">
        <f t="shared" ca="1" si="6"/>
        <v>9.6604819172038253E-3</v>
      </c>
      <c r="E96">
        <f t="shared" ca="1" si="7"/>
        <v>98.843941818283653</v>
      </c>
    </row>
    <row r="97" spans="1:5" x14ac:dyDescent="0.3">
      <c r="A97">
        <v>90</v>
      </c>
      <c r="B97">
        <f t="shared" ca="1" si="4"/>
        <v>-0.40979659366235588</v>
      </c>
      <c r="C97">
        <f t="shared" ca="1" si="5"/>
        <v>100.63011579358282</v>
      </c>
      <c r="D97">
        <f t="shared" ca="1" si="6"/>
        <v>1.6234183835371493E-3</v>
      </c>
      <c r="E97">
        <f t="shared" ca="1" si="7"/>
        <v>99.004406890532721</v>
      </c>
    </row>
    <row r="98" spans="1:5" x14ac:dyDescent="0.3">
      <c r="A98">
        <v>91</v>
      </c>
      <c r="B98">
        <f t="shared" ca="1" si="4"/>
        <v>1.9898849202630517</v>
      </c>
      <c r="C98">
        <f t="shared" ca="1" si="5"/>
        <v>102.56198316016015</v>
      </c>
      <c r="D98">
        <f t="shared" ca="1" si="6"/>
        <v>1.7320282056780208E-2</v>
      </c>
      <c r="E98">
        <f t="shared" ca="1" si="7"/>
        <v>100.71919114274098</v>
      </c>
    </row>
    <row r="99" spans="1:5" x14ac:dyDescent="0.3">
      <c r="A99">
        <v>92</v>
      </c>
      <c r="B99">
        <f t="shared" ca="1" si="4"/>
        <v>1.695681684287125</v>
      </c>
      <c r="C99">
        <f t="shared" ca="1" si="5"/>
        <v>104.24468161111898</v>
      </c>
      <c r="D99">
        <f t="shared" ca="1" si="6"/>
        <v>2.2751587660876281E-2</v>
      </c>
      <c r="E99">
        <f t="shared" ca="1" si="7"/>
        <v>103.01071264915761</v>
      </c>
    </row>
    <row r="100" spans="1:5" x14ac:dyDescent="0.3">
      <c r="A100">
        <v>93</v>
      </c>
      <c r="B100">
        <f t="shared" ca="1" si="4"/>
        <v>0.82153993813834614</v>
      </c>
      <c r="C100">
        <f t="shared" ca="1" si="5"/>
        <v>105.09050337846853</v>
      </c>
      <c r="D100">
        <f t="shared" ca="1" si="6"/>
        <v>1.8285433170584703E-2</v>
      </c>
      <c r="E100">
        <f t="shared" ca="1" si="7"/>
        <v>104.89430815115807</v>
      </c>
    </row>
    <row r="101" spans="1:5" x14ac:dyDescent="0.3">
      <c r="A101">
        <v>94</v>
      </c>
      <c r="B101">
        <f t="shared" ca="1" si="4"/>
        <v>-0.23016471663380259</v>
      </c>
      <c r="C101">
        <f t="shared" ca="1" si="5"/>
        <v>104.89466362873074</v>
      </c>
      <c r="D101">
        <f t="shared" ca="1" si="6"/>
        <v>7.4117204766605792E-3</v>
      </c>
      <c r="E101">
        <f t="shared" ca="1" si="7"/>
        <v>105.67175544276716</v>
      </c>
    </row>
    <row r="102" spans="1:5" x14ac:dyDescent="0.3">
      <c r="A102">
        <v>95</v>
      </c>
      <c r="B102">
        <f t="shared" ca="1" si="4"/>
        <v>2.5052294855225337</v>
      </c>
      <c r="C102">
        <f t="shared" ca="1" si="5"/>
        <v>107.42122926305365</v>
      </c>
      <c r="D102">
        <f t="shared" ca="1" si="6"/>
        <v>2.4448420752546593E-2</v>
      </c>
      <c r="E102">
        <f t="shared" ca="1" si="7"/>
        <v>108.25526298149214</v>
      </c>
    </row>
    <row r="103" spans="1:5" x14ac:dyDescent="0.3">
      <c r="A103">
        <v>96</v>
      </c>
      <c r="B103">
        <f t="shared" ca="1" si="4"/>
        <v>0.21325994835262846</v>
      </c>
      <c r="C103">
        <f t="shared" ca="1" si="5"/>
        <v>107.67293455297576</v>
      </c>
      <c r="D103">
        <f t="shared" ca="1" si="6"/>
        <v>1.4136319641150117E-2</v>
      </c>
      <c r="E103">
        <f t="shared" ca="1" si="7"/>
        <v>109.78559398183528</v>
      </c>
    </row>
    <row r="104" spans="1:5" x14ac:dyDescent="0.3">
      <c r="A104">
        <v>97</v>
      </c>
      <c r="B104">
        <f t="shared" ca="1" si="4"/>
        <v>6.5334067210106164E-2</v>
      </c>
      <c r="C104">
        <f t="shared" ca="1" si="5"/>
        <v>107.77412701791576</v>
      </c>
      <c r="D104">
        <f t="shared" ca="1" si="6"/>
        <v>7.7649339563430654E-3</v>
      </c>
      <c r="E104">
        <f t="shared" ca="1" si="7"/>
        <v>110.63807186846212</v>
      </c>
    </row>
    <row r="105" spans="1:5" x14ac:dyDescent="0.3">
      <c r="A105">
        <v>98</v>
      </c>
      <c r="B105">
        <f t="shared" ca="1" si="4"/>
        <v>0.35115759271792901</v>
      </c>
      <c r="C105">
        <f t="shared" ca="1" si="5"/>
        <v>108.16765060196073</v>
      </c>
      <c r="D105">
        <f t="shared" ca="1" si="6"/>
        <v>6.9275209997338568E-3</v>
      </c>
      <c r="E105">
        <f t="shared" ca="1" si="7"/>
        <v>111.40451943470096</v>
      </c>
    </row>
    <row r="106" spans="1:5" x14ac:dyDescent="0.3">
      <c r="A106">
        <v>99</v>
      </c>
      <c r="B106">
        <f t="shared" ca="1" si="4"/>
        <v>-7.3672324838836192E-2</v>
      </c>
      <c r="C106">
        <f t="shared" ca="1" si="5"/>
        <v>108.12666403585931</v>
      </c>
      <c r="D106">
        <f t="shared" ca="1" si="6"/>
        <v>3.0184805871957474E-3</v>
      </c>
      <c r="E106">
        <f t="shared" ca="1" si="7"/>
        <v>111.74079181394048</v>
      </c>
    </row>
    <row r="107" spans="1:5" x14ac:dyDescent="0.3">
      <c r="A107">
        <v>100</v>
      </c>
      <c r="B107">
        <f t="shared" ca="1" si="4"/>
        <v>-0.35877811504173818</v>
      </c>
      <c r="C107">
        <f t="shared" ca="1" si="5"/>
        <v>107.79323729613645</v>
      </c>
      <c r="D107">
        <f t="shared" ca="1" si="6"/>
        <v>-1.2784227076152797E-3</v>
      </c>
      <c r="E107">
        <f t="shared" ca="1" si="7"/>
        <v>111.59793984831863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SSU</dc:creator>
  <cp:lastModifiedBy>SSU</cp:lastModifiedBy>
  <dcterms:created xsi:type="dcterms:W3CDTF">2023-05-02T00:25:27Z</dcterms:created>
  <dcterms:modified xsi:type="dcterms:W3CDTF">2023-05-02T01:09:55Z</dcterms:modified>
</cp:coreProperties>
</file>
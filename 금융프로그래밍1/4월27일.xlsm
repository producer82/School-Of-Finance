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SU\Downloads\"/>
    </mc:Choice>
  </mc:AlternateContent>
  <xr:revisionPtr revIDLastSave="0" documentId="8_{0D56CAAA-813C-40DC-9046-7A8BEE9B51E9}" xr6:coauthVersionLast="36" xr6:coauthVersionMax="36" xr10:uidLastSave="{00000000-0000-0000-0000-000000000000}"/>
  <bookViews>
    <workbookView xWindow="0" yWindow="0" windowWidth="28800" windowHeight="12180" activeTab="1" xr2:uid="{07E5AC8A-E82B-4A18-B2BD-A8811D864CF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2" l="1"/>
  <c r="E8" i="2" s="1"/>
  <c r="F6" i="2"/>
  <c r="F8" i="2" s="1"/>
  <c r="G6" i="2"/>
  <c r="G8" i="2" s="1"/>
  <c r="H6" i="2"/>
  <c r="H8" i="2" s="1"/>
  <c r="I6" i="2"/>
  <c r="I8" i="2" s="1"/>
  <c r="J6" i="2"/>
  <c r="J8" i="2" s="1"/>
  <c r="D6" i="2"/>
  <c r="D7" i="2" s="1"/>
  <c r="F18" i="1"/>
  <c r="G18" i="1"/>
  <c r="H18" i="1"/>
  <c r="I18" i="1"/>
  <c r="E18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E4" i="1" s="1"/>
  <c r="D2" i="1"/>
  <c r="D8" i="2" l="1"/>
  <c r="D11" i="2" s="1"/>
  <c r="H7" i="2"/>
  <c r="J7" i="2"/>
  <c r="I7" i="2"/>
  <c r="G7" i="2"/>
  <c r="F7" i="2"/>
  <c r="E7" i="2"/>
  <c r="D12" i="2" l="1"/>
  <c r="E11" i="2" l="1"/>
  <c r="E12" i="2" l="1"/>
  <c r="F11" i="2" l="1"/>
  <c r="F12" i="2" l="1"/>
  <c r="G11" i="2" l="1"/>
  <c r="G12" i="2" l="1"/>
  <c r="H11" i="2" l="1"/>
  <c r="H12" i="2" l="1"/>
  <c r="I11" i="2" l="1"/>
  <c r="I12" i="2" l="1"/>
  <c r="J11" i="2" l="1"/>
  <c r="J12" i="2" l="1"/>
  <c r="B15" i="2" s="1"/>
  <c r="B16" i="2" l="1"/>
  <c r="J13" i="2"/>
</calcChain>
</file>

<file path=xl/sharedStrings.xml><?xml version="1.0" encoding="utf-8"?>
<sst xmlns="http://schemas.openxmlformats.org/spreadsheetml/2006/main" count="32" uniqueCount="24">
  <si>
    <t>Kelly's Criterion</t>
    <phoneticPr fontId="1" type="noConversion"/>
  </si>
  <si>
    <t>이길확률</t>
    <phoneticPr fontId="1" type="noConversion"/>
  </si>
  <si>
    <t>수익</t>
    <phoneticPr fontId="1" type="noConversion"/>
  </si>
  <si>
    <t>손실</t>
    <phoneticPr fontId="1" type="noConversion"/>
  </si>
  <si>
    <t>투자비중</t>
    <phoneticPr fontId="1" type="noConversion"/>
  </si>
  <si>
    <t>평균성장률</t>
    <phoneticPr fontId="1" type="noConversion"/>
  </si>
  <si>
    <t>기하평균</t>
    <phoneticPr fontId="1" type="noConversion"/>
  </si>
  <si>
    <t>평균</t>
    <phoneticPr fontId="1" type="noConversion"/>
  </si>
  <si>
    <t>표준편차</t>
    <phoneticPr fontId="1" type="noConversion"/>
  </si>
  <si>
    <t>5퍼센타일</t>
    <phoneticPr fontId="1" type="noConversion"/>
  </si>
  <si>
    <t>95퍼센타일</t>
    <phoneticPr fontId="1" type="noConversion"/>
  </si>
  <si>
    <t>t 값</t>
    <phoneticPr fontId="1" type="noConversion"/>
  </si>
  <si>
    <t>월</t>
    <phoneticPr fontId="1" type="noConversion"/>
  </si>
  <si>
    <t>매출</t>
    <phoneticPr fontId="1" type="noConversion"/>
  </si>
  <si>
    <t>현금수입</t>
    <phoneticPr fontId="1" type="noConversion"/>
  </si>
  <si>
    <t>변동비</t>
    <phoneticPr fontId="1" type="noConversion"/>
  </si>
  <si>
    <t>고정비</t>
    <phoneticPr fontId="1" type="noConversion"/>
  </si>
  <si>
    <t>기타</t>
    <phoneticPr fontId="1" type="noConversion"/>
  </si>
  <si>
    <t>현금</t>
    <phoneticPr fontId="1" type="noConversion"/>
  </si>
  <si>
    <t>융자</t>
    <phoneticPr fontId="1" type="noConversion"/>
  </si>
  <si>
    <t>기말현금</t>
    <phoneticPr fontId="1" type="noConversion"/>
  </si>
  <si>
    <t>최대 융자</t>
    <phoneticPr fontId="1" type="noConversion"/>
  </si>
  <si>
    <t>최대월</t>
    <phoneticPr fontId="1" type="noConversion"/>
  </si>
  <si>
    <t>최대융자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</si>
</sst>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9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5CD39-10C1-450C-BF67-2BB002ECF5C9}">
  <sheetPr codeName="Sheet1"/>
  <dimension ref="A1:I58"/>
  <sheetViews>
    <sheetView workbookViewId="0">
      <selection activeCell="D20" sqref="D20"/>
    </sheetView>
  </sheetViews>
  <sheetFormatPr defaultRowHeight="16.5" x14ac:dyDescent="0.3"/>
  <cols>
    <col min="1" max="1" width="15.125" bestFit="1" customWidth="1"/>
  </cols>
  <sheetData>
    <row r="1" spans="1:9" x14ac:dyDescent="0.3">
      <c r="A1" t="s">
        <v>0</v>
      </c>
    </row>
    <row r="2" spans="1:9" x14ac:dyDescent="0.3">
      <c r="A2" t="s">
        <v>1</v>
      </c>
      <c r="B2">
        <v>0.4</v>
      </c>
      <c r="D2">
        <f>(B2*B3-(1-B2)/(B4*B3))</f>
        <v>1.0000000000000002</v>
      </c>
    </row>
    <row r="3" spans="1:9" x14ac:dyDescent="0.3">
      <c r="A3" t="s">
        <v>2</v>
      </c>
      <c r="B3">
        <v>3</v>
      </c>
    </row>
    <row r="4" spans="1:9" x14ac:dyDescent="0.3">
      <c r="A4" t="s">
        <v>3</v>
      </c>
      <c r="B4">
        <v>1</v>
      </c>
      <c r="D4" t="s">
        <v>5</v>
      </c>
      <c r="E4">
        <f ca="1">((B58/B8)^(1/50)-1)</f>
        <v>-1.7036467151665069E-2</v>
      </c>
    </row>
    <row r="5" spans="1:9" x14ac:dyDescent="0.3">
      <c r="D5" t="s">
        <v>6</v>
      </c>
    </row>
    <row r="6" spans="1:9" x14ac:dyDescent="0.3">
      <c r="A6" t="s">
        <v>4</v>
      </c>
      <c r="B6" s="1">
        <v>0.5</v>
      </c>
    </row>
    <row r="8" spans="1:9" x14ac:dyDescent="0.3">
      <c r="A8">
        <v>0</v>
      </c>
      <c r="B8">
        <v>100</v>
      </c>
      <c r="D8" t="s">
        <v>7</v>
      </c>
      <c r="E8">
        <v>-3.8108061894343376E-2</v>
      </c>
    </row>
    <row r="9" spans="1:9" x14ac:dyDescent="0.3">
      <c r="A9">
        <v>1</v>
      </c>
      <c r="B9">
        <f ca="1">IF(RAND()&lt;$B$2,(1-$B$6)*B8+$B$6*B8*(1+$B$3),(1-$B$6)*B8+$B$6*B8*(1-$B$4))</f>
        <v>50</v>
      </c>
      <c r="D9" t="s">
        <v>8</v>
      </c>
      <c r="E9">
        <v>0.10839794310615589</v>
      </c>
    </row>
    <row r="10" spans="1:9" x14ac:dyDescent="0.3">
      <c r="A10">
        <v>2</v>
      </c>
      <c r="B10">
        <f t="shared" ref="B10:B59" ca="1" si="0">IF(RAND()&lt;$B$2,(1-$B$6)*B9+$B$6*B9*(1+$B$3),(1-$B$6)*B9+$B$6*B9*(1-$B$4))</f>
        <v>25</v>
      </c>
      <c r="D10" t="s">
        <v>9</v>
      </c>
      <c r="E10">
        <v>-0.1896717016536188</v>
      </c>
    </row>
    <row r="11" spans="1:9" x14ac:dyDescent="0.3">
      <c r="A11">
        <v>3</v>
      </c>
      <c r="B11">
        <f t="shared" ca="1" si="0"/>
        <v>12.5</v>
      </c>
      <c r="D11" t="s">
        <v>10</v>
      </c>
      <c r="E11">
        <v>0.15460758604837643</v>
      </c>
    </row>
    <row r="12" spans="1:9" x14ac:dyDescent="0.3">
      <c r="A12">
        <v>4</v>
      </c>
      <c r="B12">
        <f t="shared" ca="1" si="0"/>
        <v>6.25</v>
      </c>
    </row>
    <row r="13" spans="1:9" x14ac:dyDescent="0.3">
      <c r="A13">
        <v>5</v>
      </c>
      <c r="B13">
        <f t="shared" ca="1" si="0"/>
        <v>3.125</v>
      </c>
      <c r="E13" s="1">
        <v>0.1</v>
      </c>
      <c r="F13" s="1">
        <v>0.2</v>
      </c>
      <c r="G13" s="1">
        <v>0.3</v>
      </c>
      <c r="H13" s="1">
        <v>0.4</v>
      </c>
      <c r="I13" s="1">
        <v>0.5</v>
      </c>
    </row>
    <row r="14" spans="1:9" x14ac:dyDescent="0.3">
      <c r="A14">
        <v>6</v>
      </c>
      <c r="B14">
        <f t="shared" ca="1" si="0"/>
        <v>1.5625</v>
      </c>
      <c r="D14" t="s">
        <v>7</v>
      </c>
      <c r="E14">
        <v>4.2223161433479262E-2</v>
      </c>
      <c r="F14">
        <v>5.7050993234223635E-2</v>
      </c>
      <c r="G14">
        <v>4.7026139323372185E-2</v>
      </c>
      <c r="H14">
        <v>1.1695776054838174E-2</v>
      </c>
      <c r="I14">
        <v>-3.8108061894343376E-2</v>
      </c>
    </row>
    <row r="15" spans="1:9" x14ac:dyDescent="0.3">
      <c r="A15">
        <v>7</v>
      </c>
      <c r="B15">
        <f t="shared" ca="1" si="0"/>
        <v>0.78125</v>
      </c>
      <c r="D15" t="s">
        <v>8</v>
      </c>
      <c r="E15">
        <v>2.6894126558515051E-2</v>
      </c>
      <c r="F15">
        <v>5.1629638322589669E-2</v>
      </c>
      <c r="G15">
        <v>7.3233922613825192E-2</v>
      </c>
      <c r="H15">
        <v>9.1899747073495144E-2</v>
      </c>
      <c r="I15">
        <v>0.10839794310615589</v>
      </c>
    </row>
    <row r="16" spans="1:9" x14ac:dyDescent="0.3">
      <c r="A16">
        <v>8</v>
      </c>
      <c r="B16">
        <f t="shared" ca="1" si="0"/>
        <v>0.390625</v>
      </c>
      <c r="D16" t="s">
        <v>9</v>
      </c>
      <c r="E16">
        <v>-2.3947053301212051E-3</v>
      </c>
      <c r="F16">
        <v>-2.8644092483962491E-2</v>
      </c>
      <c r="G16">
        <v>-7.4190576347388237E-2</v>
      </c>
      <c r="H16">
        <v>-0.13672880306546265</v>
      </c>
      <c r="I16">
        <v>-0.1896717016536188</v>
      </c>
    </row>
    <row r="17" spans="1:9" x14ac:dyDescent="0.3">
      <c r="A17">
        <v>9</v>
      </c>
      <c r="B17">
        <f t="shared" ca="1" si="0"/>
        <v>0.1953125</v>
      </c>
      <c r="D17" t="s">
        <v>10</v>
      </c>
      <c r="E17">
        <v>8.9649810670774377E-2</v>
      </c>
      <c r="F17">
        <v>0.14716419841266193</v>
      </c>
      <c r="G17">
        <v>0.17651896360781705</v>
      </c>
      <c r="H17">
        <v>0.17915906540608817</v>
      </c>
      <c r="I17">
        <v>0.15460758604837643</v>
      </c>
    </row>
    <row r="18" spans="1:9" x14ac:dyDescent="0.3">
      <c r="A18">
        <v>10</v>
      </c>
      <c r="B18">
        <f t="shared" ca="1" si="0"/>
        <v>0.48828125</v>
      </c>
      <c r="D18" t="s">
        <v>11</v>
      </c>
      <c r="E18">
        <f>(E14-$F$14)/SQRT(E15^2/1000+$F$15^2/1000)</f>
        <v>-8.0546635231439119</v>
      </c>
      <c r="F18">
        <f t="shared" ref="F18:I18" si="1">(F14-$F$14)/SQRT(F15^2/1000+$F$15^2/1000)</f>
        <v>0</v>
      </c>
      <c r="G18">
        <f t="shared" si="1"/>
        <v>-3.5379525430015684</v>
      </c>
      <c r="H18">
        <f t="shared" si="1"/>
        <v>-13.606521096689793</v>
      </c>
      <c r="I18">
        <f t="shared" si="1"/>
        <v>-25.062924552722631</v>
      </c>
    </row>
    <row r="19" spans="1:9" x14ac:dyDescent="0.3">
      <c r="A19">
        <v>11</v>
      </c>
      <c r="B19">
        <f t="shared" ca="1" si="0"/>
        <v>1.220703125</v>
      </c>
    </row>
    <row r="20" spans="1:9" x14ac:dyDescent="0.3">
      <c r="A20">
        <v>12</v>
      </c>
      <c r="B20">
        <f t="shared" ca="1" si="0"/>
        <v>0.6103515625</v>
      </c>
    </row>
    <row r="21" spans="1:9" x14ac:dyDescent="0.3">
      <c r="A21">
        <v>13</v>
      </c>
      <c r="B21">
        <f t="shared" ca="1" si="0"/>
        <v>1.52587890625</v>
      </c>
    </row>
    <row r="22" spans="1:9" x14ac:dyDescent="0.3">
      <c r="A22">
        <v>14</v>
      </c>
      <c r="B22">
        <f t="shared" ca="1" si="0"/>
        <v>3.814697265625</v>
      </c>
    </row>
    <row r="23" spans="1:9" x14ac:dyDescent="0.3">
      <c r="A23">
        <v>15</v>
      </c>
      <c r="B23">
        <f t="shared" ca="1" si="0"/>
        <v>1.9073486328125</v>
      </c>
    </row>
    <row r="24" spans="1:9" x14ac:dyDescent="0.3">
      <c r="A24">
        <v>16</v>
      </c>
      <c r="B24">
        <f t="shared" ca="1" si="0"/>
        <v>0.95367431640625</v>
      </c>
    </row>
    <row r="25" spans="1:9" x14ac:dyDescent="0.3">
      <c r="A25">
        <v>17</v>
      </c>
      <c r="B25">
        <f t="shared" ca="1" si="0"/>
        <v>0.476837158203125</v>
      </c>
    </row>
    <row r="26" spans="1:9" x14ac:dyDescent="0.3">
      <c r="A26">
        <v>18</v>
      </c>
      <c r="B26">
        <f t="shared" ca="1" si="0"/>
        <v>0.2384185791015625</v>
      </c>
    </row>
    <row r="27" spans="1:9" x14ac:dyDescent="0.3">
      <c r="A27">
        <v>19</v>
      </c>
      <c r="B27">
        <f t="shared" ca="1" si="0"/>
        <v>0.59604644775390625</v>
      </c>
    </row>
    <row r="28" spans="1:9" x14ac:dyDescent="0.3">
      <c r="A28">
        <v>20</v>
      </c>
      <c r="B28">
        <f t="shared" ca="1" si="0"/>
        <v>0.29802322387695313</v>
      </c>
    </row>
    <row r="29" spans="1:9" x14ac:dyDescent="0.3">
      <c r="A29">
        <v>21</v>
      </c>
      <c r="B29">
        <f t="shared" ca="1" si="0"/>
        <v>0.74505805969238281</v>
      </c>
    </row>
    <row r="30" spans="1:9" x14ac:dyDescent="0.3">
      <c r="A30">
        <v>22</v>
      </c>
      <c r="B30">
        <f t="shared" ca="1" si="0"/>
        <v>1.862645149230957</v>
      </c>
    </row>
    <row r="31" spans="1:9" x14ac:dyDescent="0.3">
      <c r="A31">
        <v>23</v>
      </c>
      <c r="B31">
        <f t="shared" ca="1" si="0"/>
        <v>4.6566128730773926</v>
      </c>
    </row>
    <row r="32" spans="1:9" x14ac:dyDescent="0.3">
      <c r="A32">
        <v>24</v>
      </c>
      <c r="B32">
        <f t="shared" ca="1" si="0"/>
        <v>2.3283064365386963</v>
      </c>
    </row>
    <row r="33" spans="1:2" x14ac:dyDescent="0.3">
      <c r="A33">
        <v>25</v>
      </c>
      <c r="B33">
        <f t="shared" ca="1" si="0"/>
        <v>1.1641532182693481</v>
      </c>
    </row>
    <row r="34" spans="1:2" x14ac:dyDescent="0.3">
      <c r="A34">
        <v>26</v>
      </c>
      <c r="B34">
        <f t="shared" ca="1" si="0"/>
        <v>0.58207660913467407</v>
      </c>
    </row>
    <row r="35" spans="1:2" x14ac:dyDescent="0.3">
      <c r="A35">
        <v>27</v>
      </c>
      <c r="B35">
        <f t="shared" ca="1" si="0"/>
        <v>0.29103830456733704</v>
      </c>
    </row>
    <row r="36" spans="1:2" x14ac:dyDescent="0.3">
      <c r="A36">
        <v>28</v>
      </c>
      <c r="B36">
        <f t="shared" ca="1" si="0"/>
        <v>0.72759576141834259</v>
      </c>
    </row>
    <row r="37" spans="1:2" x14ac:dyDescent="0.3">
      <c r="A37">
        <v>29</v>
      </c>
      <c r="B37">
        <f t="shared" ca="1" si="0"/>
        <v>1.8189894035458565</v>
      </c>
    </row>
    <row r="38" spans="1:2" x14ac:dyDescent="0.3">
      <c r="A38">
        <v>30</v>
      </c>
      <c r="B38">
        <f t="shared" ca="1" si="0"/>
        <v>0.90949470177292824</v>
      </c>
    </row>
    <row r="39" spans="1:2" x14ac:dyDescent="0.3">
      <c r="A39">
        <v>31</v>
      </c>
      <c r="B39">
        <f t="shared" ca="1" si="0"/>
        <v>2.2737367544323206</v>
      </c>
    </row>
    <row r="40" spans="1:2" x14ac:dyDescent="0.3">
      <c r="A40">
        <v>32</v>
      </c>
      <c r="B40">
        <f t="shared" ca="1" si="0"/>
        <v>5.6843418860808015</v>
      </c>
    </row>
    <row r="41" spans="1:2" x14ac:dyDescent="0.3">
      <c r="A41">
        <v>33</v>
      </c>
      <c r="B41">
        <f t="shared" ca="1" si="0"/>
        <v>14.210854715202004</v>
      </c>
    </row>
    <row r="42" spans="1:2" x14ac:dyDescent="0.3">
      <c r="A42">
        <v>34</v>
      </c>
      <c r="B42">
        <f t="shared" ca="1" si="0"/>
        <v>7.1054273576010019</v>
      </c>
    </row>
    <row r="43" spans="1:2" x14ac:dyDescent="0.3">
      <c r="A43">
        <v>35</v>
      </c>
      <c r="B43">
        <f t="shared" ca="1" si="0"/>
        <v>17.763568394002505</v>
      </c>
    </row>
    <row r="44" spans="1:2" x14ac:dyDescent="0.3">
      <c r="A44">
        <v>36</v>
      </c>
      <c r="B44">
        <f t="shared" ca="1" si="0"/>
        <v>8.8817841970012523</v>
      </c>
    </row>
    <row r="45" spans="1:2" x14ac:dyDescent="0.3">
      <c r="A45">
        <v>37</v>
      </c>
      <c r="B45">
        <f t="shared" ca="1" si="0"/>
        <v>22.204460492503131</v>
      </c>
    </row>
    <row r="46" spans="1:2" x14ac:dyDescent="0.3">
      <c r="A46">
        <v>38</v>
      </c>
      <c r="B46">
        <f t="shared" ca="1" si="0"/>
        <v>11.102230246251565</v>
      </c>
    </row>
    <row r="47" spans="1:2" x14ac:dyDescent="0.3">
      <c r="A47">
        <v>39</v>
      </c>
      <c r="B47">
        <f t="shared" ca="1" si="0"/>
        <v>27.755575615628914</v>
      </c>
    </row>
    <row r="48" spans="1:2" x14ac:dyDescent="0.3">
      <c r="A48">
        <v>40</v>
      </c>
      <c r="B48">
        <f t="shared" ca="1" si="0"/>
        <v>13.877787807814457</v>
      </c>
    </row>
    <row r="49" spans="1:2" x14ac:dyDescent="0.3">
      <c r="A49">
        <v>41</v>
      </c>
      <c r="B49">
        <f t="shared" ca="1" si="0"/>
        <v>6.9388939039072284</v>
      </c>
    </row>
    <row r="50" spans="1:2" x14ac:dyDescent="0.3">
      <c r="A50">
        <v>42</v>
      </c>
      <c r="B50">
        <f t="shared" ca="1" si="0"/>
        <v>17.347234759768071</v>
      </c>
    </row>
    <row r="51" spans="1:2" x14ac:dyDescent="0.3">
      <c r="A51">
        <v>43</v>
      </c>
      <c r="B51">
        <f t="shared" ca="1" si="0"/>
        <v>8.6736173798840355</v>
      </c>
    </row>
    <row r="52" spans="1:2" x14ac:dyDescent="0.3">
      <c r="A52">
        <v>44</v>
      </c>
      <c r="B52">
        <f t="shared" ca="1" si="0"/>
        <v>4.3368086899420177</v>
      </c>
    </row>
    <row r="53" spans="1:2" x14ac:dyDescent="0.3">
      <c r="A53">
        <v>45</v>
      </c>
      <c r="B53">
        <f t="shared" ca="1" si="0"/>
        <v>10.842021724855044</v>
      </c>
    </row>
    <row r="54" spans="1:2" x14ac:dyDescent="0.3">
      <c r="A54">
        <v>46</v>
      </c>
      <c r="B54">
        <f t="shared" ca="1" si="0"/>
        <v>27.105054312137611</v>
      </c>
    </row>
    <row r="55" spans="1:2" x14ac:dyDescent="0.3">
      <c r="A55">
        <v>47</v>
      </c>
      <c r="B55">
        <f t="shared" ca="1" si="0"/>
        <v>67.762635780344027</v>
      </c>
    </row>
    <row r="56" spans="1:2" x14ac:dyDescent="0.3">
      <c r="A56">
        <v>48</v>
      </c>
      <c r="B56">
        <f t="shared" ca="1" si="0"/>
        <v>33.881317890172014</v>
      </c>
    </row>
    <row r="57" spans="1:2" x14ac:dyDescent="0.3">
      <c r="A57">
        <v>49</v>
      </c>
      <c r="B57">
        <f t="shared" ca="1" si="0"/>
        <v>84.703294725430027</v>
      </c>
    </row>
    <row r="58" spans="1:2" x14ac:dyDescent="0.3">
      <c r="A58">
        <v>50</v>
      </c>
      <c r="B58">
        <f t="shared" ca="1" si="0"/>
        <v>42.351647362715013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D1961-2DF2-4A72-A963-9B4D05D32C22}">
  <sheetPr codeName="Sheet2"/>
  <dimension ref="A2:J21"/>
  <sheetViews>
    <sheetView tabSelected="1" zoomScale="115" zoomScaleNormal="115" workbookViewId="0">
      <selection activeCell="N7" sqref="N7"/>
    </sheetView>
  </sheetViews>
  <sheetFormatPr defaultRowHeight="16.5" x14ac:dyDescent="0.3"/>
  <sheetData>
    <row r="2" spans="1:10" x14ac:dyDescent="0.3">
      <c r="B2">
        <v>1500</v>
      </c>
      <c r="C2">
        <v>1600</v>
      </c>
      <c r="D2">
        <v>1800</v>
      </c>
      <c r="E2">
        <v>1500</v>
      </c>
      <c r="F2">
        <v>1900</v>
      </c>
      <c r="G2">
        <v>2600</v>
      </c>
      <c r="H2">
        <v>2400</v>
      </c>
      <c r="I2">
        <v>1900</v>
      </c>
      <c r="J2">
        <v>1300</v>
      </c>
    </row>
    <row r="3" spans="1:10" x14ac:dyDescent="0.3">
      <c r="D3">
        <v>80</v>
      </c>
      <c r="E3">
        <v>80</v>
      </c>
      <c r="F3">
        <v>10</v>
      </c>
      <c r="G3">
        <v>125</v>
      </c>
      <c r="H3">
        <v>120</v>
      </c>
      <c r="I3">
        <v>90</v>
      </c>
      <c r="J3">
        <v>70</v>
      </c>
    </row>
    <row r="5" spans="1:10" x14ac:dyDescent="0.3">
      <c r="A5" t="s">
        <v>12</v>
      </c>
      <c r="B5">
        <v>4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</row>
    <row r="6" spans="1:10" x14ac:dyDescent="0.3">
      <c r="A6" t="s">
        <v>13</v>
      </c>
      <c r="B6">
        <v>1500</v>
      </c>
      <c r="C6">
        <v>1600</v>
      </c>
      <c r="D6">
        <f ca="1">_xlfn.NORM.INV(RAND(),D2,D3)</f>
        <v>1832.6226827642936</v>
      </c>
      <c r="E6">
        <f t="shared" ref="E6:J6" ca="1" si="0">_xlfn.NORM.INV(RAND(),E2,E3)</f>
        <v>1506.7783468681409</v>
      </c>
      <c r="F6">
        <f t="shared" ca="1" si="0"/>
        <v>1877.124657503545</v>
      </c>
      <c r="G6">
        <f t="shared" ca="1" si="0"/>
        <v>2616.2256313863286</v>
      </c>
      <c r="H6">
        <f t="shared" ca="1" si="0"/>
        <v>2354.1552226793874</v>
      </c>
      <c r="I6">
        <f t="shared" ca="1" si="0"/>
        <v>1984.2228745619254</v>
      </c>
      <c r="J6">
        <f t="shared" ca="1" si="0"/>
        <v>1309.2710433471025</v>
      </c>
    </row>
    <row r="7" spans="1:10" x14ac:dyDescent="0.3">
      <c r="A7" t="s">
        <v>14</v>
      </c>
      <c r="D7">
        <f ca="1">D6*0.2+C6*0.6+B6*0.2</f>
        <v>1626.5245365528588</v>
      </c>
      <c r="E7">
        <f t="shared" ref="E7:J7" ca="1" si="1">E6*0.2+D6*0.6+C6*0.2</f>
        <v>1720.9292790322042</v>
      </c>
      <c r="F7">
        <f t="shared" ca="1" si="1"/>
        <v>1646.0164761744525</v>
      </c>
      <c r="G7">
        <f t="shared" ca="1" si="1"/>
        <v>1950.8755901530208</v>
      </c>
      <c r="H7">
        <f t="shared" ca="1" si="1"/>
        <v>2415.9913548683835</v>
      </c>
      <c r="I7">
        <f t="shared" ca="1" si="1"/>
        <v>2332.5828347972833</v>
      </c>
      <c r="J7">
        <f t="shared" ca="1" si="1"/>
        <v>1923.2189779424532</v>
      </c>
    </row>
    <row r="8" spans="1:10" x14ac:dyDescent="0.3">
      <c r="A8" t="s">
        <v>15</v>
      </c>
      <c r="D8">
        <f ca="1">D6*0.8</f>
        <v>1466.0981462114351</v>
      </c>
      <c r="E8">
        <f t="shared" ref="E8:J8" ca="1" si="2">E6*0.8</f>
        <v>1205.4226774945128</v>
      </c>
      <c r="F8">
        <f t="shared" ca="1" si="2"/>
        <v>1501.6997260028361</v>
      </c>
      <c r="G8">
        <f t="shared" ca="1" si="2"/>
        <v>2092.980505109063</v>
      </c>
      <c r="H8">
        <f t="shared" ca="1" si="2"/>
        <v>1883.3241781435099</v>
      </c>
      <c r="I8">
        <f t="shared" ca="1" si="2"/>
        <v>1587.3782996495404</v>
      </c>
      <c r="J8">
        <f t="shared" ca="1" si="2"/>
        <v>1047.4168346776821</v>
      </c>
    </row>
    <row r="9" spans="1:10" x14ac:dyDescent="0.3">
      <c r="A9" t="s">
        <v>16</v>
      </c>
      <c r="D9">
        <v>300</v>
      </c>
      <c r="E9">
        <v>300</v>
      </c>
      <c r="F9">
        <v>300</v>
      </c>
      <c r="G9">
        <v>300</v>
      </c>
      <c r="H9">
        <v>300</v>
      </c>
      <c r="I9">
        <v>300</v>
      </c>
      <c r="J9">
        <v>300</v>
      </c>
    </row>
    <row r="10" spans="1:10" x14ac:dyDescent="0.3">
      <c r="A10" t="s">
        <v>17</v>
      </c>
      <c r="E10">
        <v>100</v>
      </c>
      <c r="H10">
        <v>150</v>
      </c>
    </row>
    <row r="11" spans="1:10" x14ac:dyDescent="0.3">
      <c r="A11" t="s">
        <v>18</v>
      </c>
      <c r="C11">
        <v>250</v>
      </c>
      <c r="D11">
        <f ca="1">C13*(1+0.005)+D7-D8-D9-D10-C12*(1+0.01)</f>
        <v>111.67639034142371</v>
      </c>
      <c r="E11">
        <f t="shared" ref="E11:J11" ca="1" si="3">D13*(1+0.005)+E7-E8-E9-E10-D12*(1+0.01)</f>
        <v>227.04975578252945</v>
      </c>
      <c r="F11">
        <f t="shared" ca="1" si="3"/>
        <v>72.387003511971116</v>
      </c>
      <c r="G11">
        <f t="shared" ca="1" si="3"/>
        <v>-370.24404140895138</v>
      </c>
      <c r="H11">
        <f t="shared" ca="1" si="3"/>
        <v>-292.52930509816736</v>
      </c>
      <c r="I11">
        <f t="shared" ca="1" si="3"/>
        <v>148.49993699859397</v>
      </c>
      <c r="J11">
        <f t="shared" ca="1" si="3"/>
        <v>724.5370796333508</v>
      </c>
    </row>
    <row r="12" spans="1:10" x14ac:dyDescent="0.3">
      <c r="A12" t="s">
        <v>19</v>
      </c>
      <c r="C12">
        <v>0</v>
      </c>
      <c r="D12">
        <f ca="1">MAX(250-D11,0)</f>
        <v>138.32360965857629</v>
      </c>
      <c r="E12">
        <f t="shared" ref="E12:J12" ca="1" si="4">MAX(250-E11,0)</f>
        <v>22.950244217470555</v>
      </c>
      <c r="F12">
        <f t="shared" ca="1" si="4"/>
        <v>177.6129964880289</v>
      </c>
      <c r="G12">
        <f t="shared" ca="1" si="4"/>
        <v>620.24404140895138</v>
      </c>
      <c r="H12">
        <f t="shared" ca="1" si="4"/>
        <v>542.52930509816736</v>
      </c>
      <c r="I12">
        <f t="shared" ca="1" si="4"/>
        <v>101.50006300140603</v>
      </c>
      <c r="J12">
        <f t="shared" ca="1" si="4"/>
        <v>0</v>
      </c>
    </row>
    <row r="13" spans="1:10" x14ac:dyDescent="0.3">
      <c r="A13" t="s">
        <v>20</v>
      </c>
      <c r="C13">
        <v>250</v>
      </c>
      <c r="D13">
        <v>250</v>
      </c>
      <c r="E13">
        <v>250</v>
      </c>
      <c r="F13">
        <v>250</v>
      </c>
      <c r="G13">
        <v>250</v>
      </c>
      <c r="H13">
        <v>250</v>
      </c>
      <c r="I13">
        <v>250</v>
      </c>
      <c r="J13">
        <f t="shared" ref="E13:J13" ca="1" si="5">J11-J12</f>
        <v>724.5370796333508</v>
      </c>
    </row>
    <row r="15" spans="1:10" x14ac:dyDescent="0.3">
      <c r="A15" t="s">
        <v>21</v>
      </c>
      <c r="B15">
        <f ca="1">INDEX(B12:J12,MATCH(MAX(B12:J12),B12:J12,0))</f>
        <v>620.24404140895138</v>
      </c>
      <c r="E15" t="s">
        <v>23</v>
      </c>
      <c r="G15">
        <v>6</v>
      </c>
      <c r="H15">
        <v>0</v>
      </c>
    </row>
    <row r="16" spans="1:10" x14ac:dyDescent="0.3">
      <c r="A16" t="s">
        <v>22</v>
      </c>
      <c r="B16">
        <f ca="1">INDEX(B5:J5,MATCH(MAX(B12:J12),B12:J12,0))</f>
        <v>9</v>
      </c>
      <c r="D16" t="s">
        <v>7</v>
      </c>
      <c r="E16">
        <v>648.2166173711563</v>
      </c>
      <c r="G16">
        <v>7</v>
      </c>
      <c r="H16">
        <v>0</v>
      </c>
    </row>
    <row r="17" spans="4:8" x14ac:dyDescent="0.3">
      <c r="D17" t="s">
        <v>8</v>
      </c>
      <c r="E17">
        <v>72.914318288977483</v>
      </c>
      <c r="G17">
        <v>8</v>
      </c>
      <c r="H17">
        <v>0</v>
      </c>
    </row>
    <row r="18" spans="4:8" x14ac:dyDescent="0.3">
      <c r="D18" t="s">
        <v>9</v>
      </c>
      <c r="E18">
        <v>537.00997731795303</v>
      </c>
      <c r="G18">
        <v>9</v>
      </c>
      <c r="H18">
        <v>0.63200000000000001</v>
      </c>
    </row>
    <row r="19" spans="4:8" x14ac:dyDescent="0.3">
      <c r="D19" t="s">
        <v>10</v>
      </c>
      <c r="E19">
        <v>773.56157906683882</v>
      </c>
      <c r="G19">
        <v>10</v>
      </c>
      <c r="H19">
        <v>0.36799999999999999</v>
      </c>
    </row>
    <row r="20" spans="4:8" x14ac:dyDescent="0.3">
      <c r="G20">
        <v>11</v>
      </c>
      <c r="H20">
        <v>0</v>
      </c>
    </row>
    <row r="21" spans="4:8" x14ac:dyDescent="0.3">
      <c r="G21">
        <v>12</v>
      </c>
      <c r="H21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SSU</dc:creator>
  <cp:lastModifiedBy>SSU</cp:lastModifiedBy>
  <dcterms:created xsi:type="dcterms:W3CDTF">2023-04-27T01:34:41Z</dcterms:created>
  <dcterms:modified xsi:type="dcterms:W3CDTF">2023-04-27T02:29:28Z</dcterms:modified>
</cp:coreProperties>
</file>
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6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SSU\Downloads\"/>
    </mc:Choice>
  </mc:AlternateContent>
  <xr:revisionPtr revIDLastSave="0" documentId="10_ncr:0_{499E43A2-BFA9-43E7-8F26-ABFB1E087A4E}" xr6:coauthVersionLast="36" xr6:coauthVersionMax="36" xr10:uidLastSave="{00000000-0000-0000-0000-000000000000}"/>
  <bookViews>
    <workbookView xWindow="0" yWindow="0" windowWidth="28800" windowHeight="13590" activeTab="1" xr2:uid="{5AE0684F-A29A-4193-83D8-EA287A7939DC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8" i="2" l="1"/>
  <c r="B7" i="2"/>
  <c r="B1" i="1"/>
  <c r="A1" i="1"/>
  <c r="C3" i="1"/>
  <c r="D3" i="1"/>
  <c r="B8" i="2" l="1"/>
</calcChain>
</file>

<file path=xl/sharedStrings.xml><?xml version="1.0" encoding="utf-8"?>
<sst xmlns="http://schemas.openxmlformats.org/spreadsheetml/2006/main" count="20" uniqueCount="16">
  <si>
    <t>volatile</t>
    <phoneticPr fontId="1" type="noConversion"/>
  </si>
  <si>
    <t>예약승객수</t>
    <phoneticPr fontId="1" type="noConversion"/>
  </si>
  <si>
    <t>고정비</t>
    <phoneticPr fontId="1" type="noConversion"/>
  </si>
  <si>
    <t>가변비용</t>
    <phoneticPr fontId="1" type="noConversion"/>
  </si>
  <si>
    <t>가격</t>
    <phoneticPr fontId="1" type="noConversion"/>
  </si>
  <si>
    <t>보상비</t>
    <phoneticPr fontId="1" type="noConversion"/>
  </si>
  <si>
    <t>실제 탑승객</t>
    <phoneticPr fontId="1" type="noConversion"/>
  </si>
  <si>
    <t>탑승할 확률</t>
    <phoneticPr fontId="1" type="noConversion"/>
  </si>
  <si>
    <t>이익</t>
    <phoneticPr fontId="1" type="noConversion"/>
  </si>
  <si>
    <t>평균</t>
    <phoneticPr fontId="1" type="noConversion"/>
  </si>
  <si>
    <t>표준편차</t>
    <phoneticPr fontId="1" type="noConversion"/>
  </si>
  <si>
    <t>5퍼센타일</t>
    <phoneticPr fontId="1" type="noConversion"/>
  </si>
  <si>
    <t>95퍼센타일</t>
    <phoneticPr fontId="1" type="noConversion"/>
  </si>
  <si>
    <t>예약승객</t>
    <phoneticPr fontId="1" type="noConversion"/>
  </si>
  <si>
    <t>t</t>
    <phoneticPr fontId="1" type="noConversion"/>
  </si>
  <si>
    <t>절대값으로 2보다 크면 유의적인 차이가 있음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</si>
</sst>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63593-2662-48E7-BABF-B96C6E1DD646}">
  <sheetPr codeName="Sheet1"/>
  <dimension ref="A1:E3"/>
  <sheetViews>
    <sheetView workbookViewId="0">
      <selection activeCell="C33" sqref="C33"/>
    </sheetView>
  </sheetViews>
  <sheetFormatPr defaultRowHeight="16.5" x14ac:dyDescent="0.3"/>
  <sheetData>
    <row r="1" spans="1:5" x14ac:dyDescent="0.3">
      <c r="A1">
        <f ca="1">RAND()</f>
        <v>0.85626841400171649</v>
      </c>
      <c r="B1">
        <f ca="1">_xlfn.NORM.INV(RAND(),0,1)</f>
        <v>-0.26368261852522223</v>
      </c>
      <c r="D1" t="s">
        <v>0</v>
      </c>
      <c r="E1">
        <v>1</v>
      </c>
    </row>
    <row r="3" spans="1:5" x14ac:dyDescent="0.3">
      <c r="C3">
        <f ca="1">rdBinomial(10,0.5,E1)</f>
        <v>3</v>
      </c>
      <c r="D3">
        <f ca="1">rdPoisson(5,E1)</f>
        <v>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6D451-9141-44AF-81EF-659B0150CC21}">
  <sheetPr codeName="Sheet2"/>
  <dimension ref="A1:K19"/>
  <sheetViews>
    <sheetView tabSelected="1" workbookViewId="0">
      <selection activeCell="E19" sqref="E19"/>
    </sheetView>
  </sheetViews>
  <sheetFormatPr defaultRowHeight="16.5" x14ac:dyDescent="0.3"/>
  <cols>
    <col min="1" max="1" width="11.625" bestFit="1" customWidth="1"/>
    <col min="4" max="4" width="11.125" bestFit="1" customWidth="1"/>
  </cols>
  <sheetData>
    <row r="1" spans="1:11" x14ac:dyDescent="0.3">
      <c r="A1" t="s">
        <v>1</v>
      </c>
      <c r="B1">
        <v>106</v>
      </c>
    </row>
    <row r="2" spans="1:11" x14ac:dyDescent="0.3">
      <c r="A2" t="s">
        <v>2</v>
      </c>
      <c r="B2">
        <v>8000</v>
      </c>
      <c r="D2" t="s">
        <v>9</v>
      </c>
      <c r="E2">
        <v>3607.36</v>
      </c>
    </row>
    <row r="3" spans="1:11" x14ac:dyDescent="0.3">
      <c r="A3" t="s">
        <v>3</v>
      </c>
      <c r="B3">
        <v>30</v>
      </c>
      <c r="D3" t="s">
        <v>10</v>
      </c>
      <c r="E3">
        <v>365.405187909738</v>
      </c>
    </row>
    <row r="4" spans="1:11" x14ac:dyDescent="0.3">
      <c r="A4" t="s">
        <v>4</v>
      </c>
      <c r="B4">
        <v>150</v>
      </c>
      <c r="D4" t="s">
        <v>11</v>
      </c>
      <c r="E4">
        <v>2800</v>
      </c>
    </row>
    <row r="5" spans="1:11" x14ac:dyDescent="0.3">
      <c r="A5" t="s">
        <v>5</v>
      </c>
      <c r="B5">
        <v>300</v>
      </c>
      <c r="D5" t="s">
        <v>12</v>
      </c>
      <c r="E5">
        <v>4000</v>
      </c>
    </row>
    <row r="6" spans="1:11" x14ac:dyDescent="0.3">
      <c r="A6" t="s">
        <v>7</v>
      </c>
      <c r="B6">
        <v>0.95</v>
      </c>
    </row>
    <row r="7" spans="1:11" x14ac:dyDescent="0.3">
      <c r="A7" t="s">
        <v>6</v>
      </c>
      <c r="B7">
        <f ca="1">rdBinomial(B1,B6,1)</f>
        <v>101</v>
      </c>
    </row>
    <row r="8" spans="1:11" x14ac:dyDescent="0.3">
      <c r="A8" t="s">
        <v>8</v>
      </c>
      <c r="B8">
        <f ca="1">MIN(B7,100)*(B4-B3)-B2-MAX(B7-100,0)*B5</f>
        <v>3700</v>
      </c>
    </row>
    <row r="13" spans="1:11" x14ac:dyDescent="0.3">
      <c r="D13" t="s">
        <v>13</v>
      </c>
      <c r="E13">
        <v>100</v>
      </c>
      <c r="F13">
        <v>101</v>
      </c>
      <c r="G13">
        <v>102</v>
      </c>
      <c r="H13">
        <v>103</v>
      </c>
      <c r="I13">
        <v>104</v>
      </c>
      <c r="J13">
        <v>105</v>
      </c>
      <c r="K13">
        <v>106</v>
      </c>
    </row>
    <row r="14" spans="1:11" x14ac:dyDescent="0.3">
      <c r="D14" t="s">
        <v>9</v>
      </c>
      <c r="E14">
        <v>3388.48</v>
      </c>
      <c r="F14">
        <v>3511</v>
      </c>
      <c r="G14">
        <v>3615.22</v>
      </c>
      <c r="H14">
        <v>3720.04</v>
      </c>
      <c r="I14">
        <v>3709.36</v>
      </c>
      <c r="J14">
        <v>3689.68</v>
      </c>
      <c r="K14">
        <v>3607.36</v>
      </c>
    </row>
    <row r="15" spans="1:11" x14ac:dyDescent="0.3">
      <c r="D15" t="s">
        <v>10</v>
      </c>
      <c r="E15">
        <v>229.33618267662177</v>
      </c>
      <c r="F15">
        <v>257.72042957402471</v>
      </c>
      <c r="G15">
        <v>202.11878587504827</v>
      </c>
      <c r="H15">
        <v>189.62688827472968</v>
      </c>
      <c r="I15">
        <v>210.29078109278245</v>
      </c>
      <c r="J15">
        <v>284.66143000015001</v>
      </c>
      <c r="K15">
        <v>365.405187909738</v>
      </c>
    </row>
    <row r="16" spans="1:11" x14ac:dyDescent="0.3">
      <c r="D16" t="s">
        <v>11</v>
      </c>
      <c r="E16">
        <v>3040</v>
      </c>
      <c r="F16">
        <v>3040</v>
      </c>
      <c r="G16">
        <v>3280</v>
      </c>
      <c r="H16">
        <v>3400</v>
      </c>
      <c r="I16">
        <v>3400</v>
      </c>
      <c r="J16">
        <v>3100</v>
      </c>
      <c r="K16">
        <v>2800</v>
      </c>
    </row>
    <row r="17" spans="4:11" x14ac:dyDescent="0.3">
      <c r="D17" t="s">
        <v>12</v>
      </c>
      <c r="E17">
        <v>3760</v>
      </c>
      <c r="F17">
        <v>3880</v>
      </c>
      <c r="G17">
        <v>3880</v>
      </c>
      <c r="H17">
        <v>4000</v>
      </c>
      <c r="I17">
        <v>4000</v>
      </c>
      <c r="J17">
        <v>4000</v>
      </c>
      <c r="K17">
        <v>4000</v>
      </c>
    </row>
    <row r="18" spans="4:11" x14ac:dyDescent="0.3">
      <c r="D18" t="s">
        <v>14</v>
      </c>
      <c r="E18">
        <f>(E14-$H$14)/SQRT(E15^2)/1000+$H$15^2/1000</f>
        <v>35.956911018905366</v>
      </c>
    </row>
    <row r="19" spans="4:11" x14ac:dyDescent="0.3">
      <c r="D19" t="s">
        <v>15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백마217-1</dc:creator>
  <cp:lastModifiedBy>백마217-1</cp:lastModifiedBy>
  <dcterms:created xsi:type="dcterms:W3CDTF">2023-04-11T00:06:30Z</dcterms:created>
  <dcterms:modified xsi:type="dcterms:W3CDTF">2023-04-11T01:07:38Z</dcterms:modified>
</cp:coreProperties>
</file>